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Dataset" sheetId="3" state="visible" r:id="rId3"/>
    <sheet xmlns:r="http://schemas.openxmlformats.org/officeDocument/2006/relationships" name="Analysis" sheetId="4" state="visible" r:id="rId4"/>
    <sheet xmlns:r="http://schemas.openxmlformats.org/officeDocument/2006/relationships" name="Monthly Growth" sheetId="5" state="visible" r:id="rId5"/>
    <sheet xmlns:r="http://schemas.openxmlformats.org/officeDocument/2006/relationships" name="Sales by Region-Produ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₹#,##0"/>
    <numFmt numFmtId="165" formatCode="0.0%"/>
    <numFmt numFmtId="166" formatCode="dd-mmm-yyyy"/>
    <numFmt numFmtId="167" formatCode="₹#,##0.00"/>
    <numFmt numFmtId="168" formatCode="dd-mmm-yyyy hh:mm"/>
    <numFmt numFmtId="169" formatCode="0.000"/>
    <numFmt numFmtId="170" formatCode="mmm yyyy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FFFFFF"/>
      <sz val="15"/>
    </font>
    <font>
      <b val="1"/>
    </font>
    <font>
      <b val="1"/>
      <color rgb="00FFFFFF"/>
      <sz val="18"/>
    </font>
    <font>
      <b val="1"/>
      <sz val="13"/>
    </font>
    <font>
      <b val="1"/>
      <color rgb="00FFFFFF"/>
      <sz val="20"/>
    </font>
    <font>
      <i val="1"/>
      <color rgb="00555555"/>
    </font>
    <font>
      <b val="1"/>
      <color rgb="001F4E78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548235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5" fillId="3" borderId="0" pivotButton="0" quotePrefix="0" xfId="0"/>
    <xf numFmtId="0" fontId="1" fillId="4" borderId="0" pivotButton="0" quotePrefix="0" xfId="0"/>
    <xf numFmtId="164" fontId="6" fillId="6" borderId="0" pivotButton="0" quotePrefix="0" xfId="0"/>
    <xf numFmtId="3" fontId="6" fillId="6" borderId="0" pivotButton="0" quotePrefix="0" xfId="0"/>
    <xf numFmtId="165" fontId="6" fillId="6" borderId="0" pivotButton="0" quotePrefix="0" xfId="0"/>
    <xf numFmtId="0" fontId="1" fillId="5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166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168" fontId="0" fillId="0" borderId="0" pivotButton="0" quotePrefix="0" xfId="0"/>
    <xf numFmtId="0" fontId="2" fillId="3" borderId="0" pivotButton="0" quotePrefix="0" xfId="0"/>
    <xf numFmtId="3" fontId="0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2" fontId="0" fillId="0" borderId="0" pivotButton="0" quotePrefix="0" xfId="0"/>
    <xf numFmtId="0" fontId="1" fillId="2" borderId="0" pivotButton="0" quotePrefix="0" xfId="0"/>
    <xf numFmtId="170" fontId="0" fillId="0" borderId="0" pivotButton="0" quotePrefix="0" xfId="0"/>
    <xf numFmtId="0" fontId="3" fillId="3" borderId="0" pivotButton="0" quotePrefix="0" xfId="0"/>
    <xf numFmtId="0" fontId="4" fillId="6" borderId="0" pivotButton="0" quotePrefix="0" xfId="0"/>
    <xf numFmtId="167" fontId="4" fillId="6" borderId="0" pivotButton="0" quotePrefix="0" xfId="0"/>
    <xf numFmtId="0" fontId="7" fillId="3" borderId="0" pivotButton="0" quotePrefix="0" xfId="0"/>
    <xf numFmtId="0" fontId="8" fillId="0" borderId="0" pivotButton="0" quotePrefix="0" xfId="0"/>
    <xf numFmtId="164" fontId="6" fillId="6" borderId="0" pivotButton="0" quotePrefix="0" xfId="0"/>
    <xf numFmtId="165" fontId="6" fillId="6" borderId="0" pivotButton="0" quotePrefix="0" xfId="0"/>
    <xf numFmtId="0" fontId="9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167" fontId="4" fillId="6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Bar Chart — Total Sales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'Sales by Region-Product'!G3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by Region-Product'!$A$4:$A$7</f>
            </numRef>
          </cat>
          <val>
            <numRef>
              <f>'Sales by Region-Product'!$G$4:$G$7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Line Chart — 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Growth'!B1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Growth'!$A$2:$A$13</f>
            </numRef>
          </cat>
          <val>
            <numRef>
              <f>'Monthly Growth'!$B$2:$B$13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Pie Chart — Sales Share by Product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'Sales by Region-Product'!$B$3:$F$3</f>
            </numRef>
          </cat>
          <val>
            <numRef>
              <f>'Sales by Region-Product'!$B$8:$F$8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'Sales by Region-Product'!G3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by Region-Product'!$A$4:$A$7</f>
            </numRef>
          </cat>
          <val>
            <numRef>
              <f>'Sales by Region-Product'!$G$4:$G$7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Growth'!B1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Growth'!$A$2:$A$13</f>
            </numRef>
          </cat>
          <val>
            <numRef>
              <f>'Monthly Growth'!$B$2:$B$13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Share by Product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'Sales by Region-Product'!$B$3:$F$3</f>
            </numRef>
          </cat>
          <val>
            <numRef>
              <f>'Sales by Region-Product'!$B$8:$F$8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20</row>
      <rowOff>0</rowOff>
    </from>
    <ext cx="540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6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6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set" displayName="SalesDataset" ref="A1:L121" headerRowCount="1">
  <autoFilter ref="A1:L121"/>
  <tableColumns count="12">
    <tableColumn id="1" name="Order ID"/>
    <tableColumn id="2" name="Order Date"/>
    <tableColumn id="3" name="Customer"/>
    <tableColumn id="4" name="Region"/>
    <tableColumn id="5" name="Product"/>
    <tableColumn id="6" name="Quantity"/>
    <tableColumn id="7" name="Unit Price"/>
    <tableColumn id="8" name="Discount"/>
    <tableColumn id="9" name="Total Sales"/>
    <tableColumn id="10" name="Cost"/>
    <tableColumn id="11" name="Profit"/>
    <tableColumn id="12" name="Timestamp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23" t="inlineStr">
        <is>
          <t>CHARTS — SALES ANALYSIS</t>
        </is>
      </c>
    </row>
    <row r="2">
      <c r="A2" s="24" t="inlineStr">
        <is>
          <t>This sheet contains the three charts required in Main Task 9.</t>
        </is>
      </c>
    </row>
  </sheetData>
  <mergeCells count="1">
    <mergeCell ref="A1:N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SALES DASHBOARD — KEY INSIGHTS</t>
        </is>
      </c>
    </row>
    <row r="3">
      <c r="A3" s="2" t="inlineStr">
        <is>
          <t>Total Sales</t>
        </is>
      </c>
      <c r="C3" s="2" t="inlineStr">
        <is>
          <t>Total Profit</t>
        </is>
      </c>
      <c r="E3" s="2" t="inlineStr">
        <is>
          <t>Total Orders</t>
        </is>
      </c>
      <c r="G3" s="2" t="inlineStr">
        <is>
          <t>Average Discount</t>
        </is>
      </c>
    </row>
    <row r="4">
      <c r="A4" s="25">
        <f>Analysis!B3</f>
        <v/>
      </c>
      <c r="C4" s="25">
        <f>Analysis!B4</f>
        <v/>
      </c>
      <c r="E4" s="4">
        <f>Analysis!B5</f>
        <v/>
      </c>
      <c r="G4" s="26">
        <f>Analysis!B6</f>
        <v/>
      </c>
    </row>
    <row r="22">
      <c r="E22" s="6" t="inlineStr">
        <is>
          <t>Insights to review</t>
        </is>
      </c>
    </row>
    <row r="23">
      <c r="E23" s="7" t="inlineStr">
        <is>
          <t>1. Use the region chart to compare regional sales.</t>
        </is>
      </c>
    </row>
    <row r="24">
      <c r="E24" s="7" t="inlineStr">
        <is>
          <t>2. Use the product pie chart to compare product contribution.</t>
        </is>
      </c>
    </row>
    <row r="25">
      <c r="E25" s="7" t="inlineStr">
        <is>
          <t>3. Compare discount scenarios on the Analysis sheet.</t>
        </is>
      </c>
    </row>
    <row r="26">
      <c r="E26" s="7" t="inlineStr">
        <is>
          <t>4. Review the top 10 customers on the Analysis sheet.</t>
        </is>
      </c>
    </row>
    <row r="27">
      <c r="E27" s="7" t="inlineStr">
        <is>
          <t>5. Check monthly growth arrows for increases and decreases.</t>
        </is>
      </c>
    </row>
    <row r="30">
      <c r="A30" s="27" t="inlineStr">
        <is>
          <t>For the full-size Bar, Line and Pie charts, open the 'Charts' sheet.</t>
        </is>
      </c>
    </row>
  </sheetData>
  <mergeCells count="7">
    <mergeCell ref="E23:H23"/>
    <mergeCell ref="E26:H26"/>
    <mergeCell ref="E27:H27"/>
    <mergeCell ref="A30:H30"/>
    <mergeCell ref="E25:H25"/>
    <mergeCell ref="A1:H1"/>
    <mergeCell ref="E24:H2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2" customWidth="1" min="4" max="4"/>
    <col width="16" customWidth="1" min="5" max="5"/>
    <col width="11" customWidth="1" min="6" max="6"/>
    <col width="15" customWidth="1" min="7" max="7"/>
    <col width="12" customWidth="1" min="8" max="8"/>
    <col width="16" customWidth="1" min="9" max="9"/>
    <col width="15" customWidth="1" min="10" max="10"/>
    <col width="15" customWidth="1" min="11" max="11"/>
    <col width="22" customWidth="1" min="12" max="12"/>
  </cols>
  <sheetData>
    <row r="1">
      <c r="A1" s="8" t="inlineStr">
        <is>
          <t>Order ID</t>
        </is>
      </c>
      <c r="B1" s="8" t="inlineStr">
        <is>
          <t>Order Date</t>
        </is>
      </c>
      <c r="C1" s="8" t="inlineStr">
        <is>
          <t>Customer</t>
        </is>
      </c>
      <c r="D1" s="8" t="inlineStr">
        <is>
          <t>Region</t>
        </is>
      </c>
      <c r="E1" s="8" t="inlineStr">
        <is>
          <t>Product</t>
        </is>
      </c>
      <c r="F1" s="8" t="inlineStr">
        <is>
          <t>Quantity</t>
        </is>
      </c>
      <c r="G1" s="8" t="inlineStr">
        <is>
          <t>Unit Price</t>
        </is>
      </c>
      <c r="H1" s="8" t="inlineStr">
        <is>
          <t>Discount</t>
        </is>
      </c>
      <c r="I1" s="8" t="inlineStr">
        <is>
          <t>Total Sales</t>
        </is>
      </c>
      <c r="J1" s="8" t="inlineStr">
        <is>
          <t>Cost</t>
        </is>
      </c>
      <c r="K1" s="8" t="inlineStr">
        <is>
          <t>Profit</t>
        </is>
      </c>
      <c r="L1" s="8" t="inlineStr">
        <is>
          <t>Timestamp</t>
        </is>
      </c>
    </row>
    <row r="2">
      <c r="A2" t="n">
        <v>1</v>
      </c>
      <c r="B2" s="28" t="n">
        <v>46107</v>
      </c>
      <c r="C2" t="inlineStr">
        <is>
          <t>Customer 014</t>
        </is>
      </c>
      <c r="D2" t="inlineStr">
        <is>
          <t>East</t>
        </is>
      </c>
      <c r="E2" t="inlineStr">
        <is>
          <t>Tablet</t>
        </is>
      </c>
      <c r="F2" t="n">
        <v>4</v>
      </c>
      <c r="G2" s="29" t="n">
        <v>23510.43</v>
      </c>
      <c r="H2" s="11" t="n">
        <v>0.1</v>
      </c>
      <c r="I2" s="29">
        <f>F2*G2</f>
        <v/>
      </c>
      <c r="J2" s="29" t="n">
        <v>73500.27</v>
      </c>
      <c r="K2" s="29">
        <f>I2*(1-H2)-J2</f>
        <v/>
      </c>
      <c r="L2" s="30">
        <f>NOW()</f>
        <v/>
      </c>
    </row>
    <row r="3">
      <c r="A3" t="n">
        <v>2</v>
      </c>
      <c r="B3" s="28" t="n">
        <v>46285</v>
      </c>
      <c r="C3" t="inlineStr">
        <is>
          <t>Customer 006</t>
        </is>
      </c>
      <c r="D3" t="inlineStr">
        <is>
          <t>North</t>
        </is>
      </c>
      <c r="E3" t="inlineStr">
        <is>
          <t>Laptop</t>
        </is>
      </c>
      <c r="F3" t="n">
        <v>1</v>
      </c>
      <c r="G3" s="29" t="n">
        <v>58452.56</v>
      </c>
      <c r="H3" s="11" t="n">
        <v>0.12</v>
      </c>
      <c r="I3" s="29">
        <f>F3*G3</f>
        <v/>
      </c>
      <c r="J3" s="29" t="n">
        <v>41246.36</v>
      </c>
      <c r="K3" s="29">
        <f>I3*(1-H3)-J3</f>
        <v/>
      </c>
      <c r="L3" s="30">
        <f>NOW()</f>
        <v/>
      </c>
    </row>
    <row r="4">
      <c r="A4" t="n">
        <v>3</v>
      </c>
      <c r="B4" s="28" t="n">
        <v>46097</v>
      </c>
      <c r="C4" t="inlineStr">
        <is>
          <t>Customer 026</t>
        </is>
      </c>
      <c r="D4" t="inlineStr">
        <is>
          <t>North</t>
        </is>
      </c>
      <c r="E4" t="inlineStr">
        <is>
          <t>Phone</t>
        </is>
      </c>
      <c r="F4" t="n">
        <v>6</v>
      </c>
      <c r="G4" s="29" t="n">
        <v>25437.08</v>
      </c>
      <c r="H4" s="11" t="n">
        <v>0.15</v>
      </c>
      <c r="I4" s="29">
        <f>F4*G4</f>
        <v/>
      </c>
      <c r="J4" s="29" t="n">
        <v>118151.21</v>
      </c>
      <c r="K4" s="29">
        <f>I4*(1-H4)-J4</f>
        <v/>
      </c>
      <c r="L4" s="30">
        <f>NOW()</f>
        <v/>
      </c>
    </row>
    <row r="5">
      <c r="A5" t="n">
        <v>4</v>
      </c>
      <c r="B5" s="28" t="n">
        <v>46231</v>
      </c>
      <c r="C5" t="inlineStr">
        <is>
          <t>Customer 020</t>
        </is>
      </c>
      <c r="D5" t="inlineStr">
        <is>
          <t>East</t>
        </is>
      </c>
      <c r="E5" t="inlineStr">
        <is>
          <t>Laptop</t>
        </is>
      </c>
      <c r="F5" t="n">
        <v>3</v>
      </c>
      <c r="G5" s="29" t="n">
        <v>60481.79</v>
      </c>
      <c r="H5" s="11" t="n">
        <v>0.15</v>
      </c>
      <c r="I5" s="29">
        <f>F5*G5</f>
        <v/>
      </c>
      <c r="J5" s="29" t="n">
        <v>116698.76</v>
      </c>
      <c r="K5" s="29">
        <f>I5*(1-H5)-J5</f>
        <v/>
      </c>
      <c r="L5" s="30">
        <f>NOW()</f>
        <v/>
      </c>
    </row>
    <row r="6">
      <c r="A6" t="n">
        <v>5</v>
      </c>
      <c r="B6" s="28" t="n">
        <v>46211</v>
      </c>
      <c r="C6" t="inlineStr">
        <is>
          <t>Customer 001</t>
        </is>
      </c>
      <c r="D6" t="inlineStr">
        <is>
          <t>North</t>
        </is>
      </c>
      <c r="E6" t="inlineStr">
        <is>
          <t>Laptop</t>
        </is>
      </c>
      <c r="F6" t="n">
        <v>1</v>
      </c>
      <c r="G6" s="29" t="n">
        <v>63703.35</v>
      </c>
      <c r="H6" s="11" t="n">
        <v>0.02</v>
      </c>
      <c r="I6" s="29">
        <f>F6*G6</f>
        <v/>
      </c>
      <c r="J6" s="29" t="n">
        <v>45269.23</v>
      </c>
      <c r="K6" s="29">
        <f>I6*(1-H6)-J6</f>
        <v/>
      </c>
      <c r="L6" s="30">
        <f>NOW()</f>
        <v/>
      </c>
    </row>
    <row r="7">
      <c r="A7" t="n">
        <v>6</v>
      </c>
      <c r="B7" s="28" t="n">
        <v>46305</v>
      </c>
      <c r="C7" t="inlineStr">
        <is>
          <t>Customer 024</t>
        </is>
      </c>
      <c r="D7" t="inlineStr">
        <is>
          <t>South</t>
        </is>
      </c>
      <c r="E7" t="inlineStr">
        <is>
          <t>Headphones</t>
        </is>
      </c>
      <c r="F7" t="n">
        <v>4</v>
      </c>
      <c r="G7" s="29" t="n">
        <v>3255.77</v>
      </c>
      <c r="H7" s="11" t="n">
        <v>0.15</v>
      </c>
      <c r="I7" s="29">
        <f>F7*G7</f>
        <v/>
      </c>
      <c r="J7" s="29" t="n">
        <v>8171.04</v>
      </c>
      <c r="K7" s="29">
        <f>I7*(1-H7)-J7</f>
        <v/>
      </c>
      <c r="L7" s="30">
        <f>NOW()</f>
        <v/>
      </c>
    </row>
    <row r="8">
      <c r="A8" t="n">
        <v>7</v>
      </c>
      <c r="B8" s="28" t="n">
        <v>46143</v>
      </c>
      <c r="C8" t="inlineStr">
        <is>
          <t>Customer 003</t>
        </is>
      </c>
      <c r="D8" t="inlineStr">
        <is>
          <t>North</t>
        </is>
      </c>
      <c r="E8" t="inlineStr">
        <is>
          <t>Phone</t>
        </is>
      </c>
      <c r="F8" t="n">
        <v>6</v>
      </c>
      <c r="G8" s="29" t="n">
        <v>30625.11</v>
      </c>
      <c r="H8" s="11" t="n">
        <v>0.15</v>
      </c>
      <c r="I8" s="29">
        <f>F8*G8</f>
        <v/>
      </c>
      <c r="J8" s="29" t="n">
        <v>141664.13</v>
      </c>
      <c r="K8" s="29">
        <f>I8*(1-H8)-J8</f>
        <v/>
      </c>
      <c r="L8" s="30">
        <f>NOW()</f>
        <v/>
      </c>
    </row>
    <row r="9">
      <c r="A9" t="n">
        <v>8</v>
      </c>
      <c r="B9" s="28" t="n">
        <v>46059</v>
      </c>
      <c r="C9" t="inlineStr">
        <is>
          <t>Customer 004</t>
        </is>
      </c>
      <c r="D9" t="inlineStr">
        <is>
          <t>East</t>
        </is>
      </c>
      <c r="E9" t="inlineStr">
        <is>
          <t>Monitor</t>
        </is>
      </c>
      <c r="F9" t="n">
        <v>7</v>
      </c>
      <c r="G9" s="29" t="n">
        <v>13686.43</v>
      </c>
      <c r="H9" s="11" t="n">
        <v>0.08</v>
      </c>
      <c r="I9" s="29">
        <f>F9*G9</f>
        <v/>
      </c>
      <c r="J9" s="29" t="n">
        <v>77087.92</v>
      </c>
      <c r="K9" s="29">
        <f>I9*(1-H9)-J9</f>
        <v/>
      </c>
      <c r="L9" s="30">
        <f>NOW()</f>
        <v/>
      </c>
    </row>
    <row r="10">
      <c r="A10" t="n">
        <v>9</v>
      </c>
      <c r="B10" s="28" t="n">
        <v>46297</v>
      </c>
      <c r="C10" t="inlineStr">
        <is>
          <t>Customer 014</t>
        </is>
      </c>
      <c r="D10" t="inlineStr">
        <is>
          <t>South</t>
        </is>
      </c>
      <c r="E10" t="inlineStr">
        <is>
          <t>Tablet</t>
        </is>
      </c>
      <c r="F10" t="n">
        <v>4</v>
      </c>
      <c r="G10" s="29" t="n">
        <v>22006.33</v>
      </c>
      <c r="H10" s="11" t="n">
        <v>0.08</v>
      </c>
      <c r="I10" s="29">
        <f>F10*G10</f>
        <v/>
      </c>
      <c r="J10" s="29" t="n">
        <v>72089.97</v>
      </c>
      <c r="K10" s="29">
        <f>I10*(1-H10)-J10</f>
        <v/>
      </c>
      <c r="L10" s="30">
        <f>NOW()</f>
        <v/>
      </c>
    </row>
    <row r="11">
      <c r="A11" t="n">
        <v>10</v>
      </c>
      <c r="B11" s="28" t="n">
        <v>46220</v>
      </c>
      <c r="C11" t="inlineStr">
        <is>
          <t>Customer 009</t>
        </is>
      </c>
      <c r="D11" t="inlineStr">
        <is>
          <t>West</t>
        </is>
      </c>
      <c r="E11" t="inlineStr">
        <is>
          <t>Laptop</t>
        </is>
      </c>
      <c r="F11" t="n">
        <v>2</v>
      </c>
      <c r="G11" s="29" t="n">
        <v>62617.11</v>
      </c>
      <c r="H11" s="11" t="n">
        <v>0.1</v>
      </c>
      <c r="I11" s="29">
        <f>F11*G11</f>
        <v/>
      </c>
      <c r="J11" s="29" t="n">
        <v>77716.14999999999</v>
      </c>
      <c r="K11" s="29">
        <f>I11*(1-H11)-J11</f>
        <v/>
      </c>
      <c r="L11" s="30">
        <f>NOW()</f>
        <v/>
      </c>
    </row>
    <row r="12">
      <c r="A12" t="n">
        <v>11</v>
      </c>
      <c r="B12" s="28" t="n">
        <v>46058</v>
      </c>
      <c r="C12" t="inlineStr">
        <is>
          <t>Customer 018</t>
        </is>
      </c>
      <c r="D12" t="inlineStr">
        <is>
          <t>North</t>
        </is>
      </c>
      <c r="E12" t="inlineStr">
        <is>
          <t>Monitor</t>
        </is>
      </c>
      <c r="F12" t="n">
        <v>5</v>
      </c>
      <c r="G12" s="29" t="n">
        <v>13492.2</v>
      </c>
      <c r="H12" s="11" t="n">
        <v>0.12</v>
      </c>
      <c r="I12" s="29">
        <f>F12*G12</f>
        <v/>
      </c>
      <c r="J12" s="29" t="n">
        <v>43346.52</v>
      </c>
      <c r="K12" s="29">
        <f>I12*(1-H12)-J12</f>
        <v/>
      </c>
      <c r="L12" s="30">
        <f>NOW()</f>
        <v/>
      </c>
    </row>
    <row r="13">
      <c r="A13" t="n">
        <v>12</v>
      </c>
      <c r="B13" s="28" t="n">
        <v>46110</v>
      </c>
      <c r="C13" t="inlineStr">
        <is>
          <t>Customer 021</t>
        </is>
      </c>
      <c r="D13" t="inlineStr">
        <is>
          <t>South</t>
        </is>
      </c>
      <c r="E13" t="inlineStr">
        <is>
          <t>Tablet</t>
        </is>
      </c>
      <c r="F13" t="n">
        <v>3</v>
      </c>
      <c r="G13" s="29" t="n">
        <v>23152.15</v>
      </c>
      <c r="H13" s="11" t="n">
        <v>0.08</v>
      </c>
      <c r="I13" s="29">
        <f>F13*G13</f>
        <v/>
      </c>
      <c r="J13" s="29" t="n">
        <v>46477</v>
      </c>
      <c r="K13" s="29">
        <f>I13*(1-H13)-J13</f>
        <v/>
      </c>
      <c r="L13" s="30">
        <f>NOW()</f>
        <v/>
      </c>
    </row>
    <row r="14">
      <c r="A14" t="n">
        <v>13</v>
      </c>
      <c r="B14" s="28" t="n">
        <v>46109</v>
      </c>
      <c r="C14" t="inlineStr">
        <is>
          <t>Customer 003</t>
        </is>
      </c>
      <c r="D14" t="inlineStr">
        <is>
          <t>North</t>
        </is>
      </c>
      <c r="E14" t="inlineStr">
        <is>
          <t>Headphones</t>
        </is>
      </c>
      <c r="F14" t="n">
        <v>3</v>
      </c>
      <c r="G14" s="29" t="n">
        <v>3261.92</v>
      </c>
      <c r="H14" s="11" t="n">
        <v>0.02</v>
      </c>
      <c r="I14" s="29">
        <f>F14*G14</f>
        <v/>
      </c>
      <c r="J14" s="29" t="n">
        <v>7390.01</v>
      </c>
      <c r="K14" s="29">
        <f>I14*(1-H14)-J14</f>
        <v/>
      </c>
      <c r="L14" s="30">
        <f>NOW()</f>
        <v/>
      </c>
    </row>
    <row r="15">
      <c r="A15" t="n">
        <v>14</v>
      </c>
      <c r="B15" s="28" t="n">
        <v>46146</v>
      </c>
      <c r="C15" t="inlineStr">
        <is>
          <t>Customer 014</t>
        </is>
      </c>
      <c r="D15" t="inlineStr">
        <is>
          <t>North</t>
        </is>
      </c>
      <c r="E15" t="inlineStr">
        <is>
          <t>Monitor</t>
        </is>
      </c>
      <c r="F15" t="n">
        <v>1</v>
      </c>
      <c r="G15" s="29" t="n">
        <v>15072.88</v>
      </c>
      <c r="H15" s="11" t="n">
        <v>0.1</v>
      </c>
      <c r="I15" s="29">
        <f>F15*G15</f>
        <v/>
      </c>
      <c r="J15" s="29" t="n">
        <v>10870.96</v>
      </c>
      <c r="K15" s="29">
        <f>I15*(1-H15)-J15</f>
        <v/>
      </c>
      <c r="L15" s="30">
        <f>NOW()</f>
        <v/>
      </c>
    </row>
    <row r="16">
      <c r="A16" t="n">
        <v>15</v>
      </c>
      <c r="B16" s="28" t="n">
        <v>46149</v>
      </c>
      <c r="C16" t="inlineStr">
        <is>
          <t>Customer 030</t>
        </is>
      </c>
      <c r="D16" t="inlineStr">
        <is>
          <t>North</t>
        </is>
      </c>
      <c r="E16" t="inlineStr">
        <is>
          <t>Phone</t>
        </is>
      </c>
      <c r="F16" t="n">
        <v>5</v>
      </c>
      <c r="G16" s="29" t="n">
        <v>25588.28</v>
      </c>
      <c r="H16" s="11" t="n">
        <v>0.1</v>
      </c>
      <c r="I16" s="29">
        <f>F16*G16</f>
        <v/>
      </c>
      <c r="J16" s="29" t="n">
        <v>99126.86</v>
      </c>
      <c r="K16" s="29">
        <f>I16*(1-H16)-J16</f>
        <v/>
      </c>
      <c r="L16" s="30">
        <f>NOW()</f>
        <v/>
      </c>
    </row>
    <row r="17">
      <c r="A17" t="n">
        <v>16</v>
      </c>
      <c r="B17" s="28" t="n">
        <v>46270</v>
      </c>
      <c r="C17" t="inlineStr">
        <is>
          <t>Customer 002</t>
        </is>
      </c>
      <c r="D17" t="inlineStr">
        <is>
          <t>South</t>
        </is>
      </c>
      <c r="E17" t="inlineStr">
        <is>
          <t>Laptop</t>
        </is>
      </c>
      <c r="F17" t="n">
        <v>7</v>
      </c>
      <c r="G17" s="29" t="n">
        <v>57095.72</v>
      </c>
      <c r="H17" s="11" t="n">
        <v>0.08</v>
      </c>
      <c r="I17" s="29">
        <f>F17*G17</f>
        <v/>
      </c>
      <c r="J17" s="29" t="n">
        <v>250574.05</v>
      </c>
      <c r="K17" s="29">
        <f>I17*(1-H17)-J17</f>
        <v/>
      </c>
      <c r="L17" s="30">
        <f>NOW()</f>
        <v/>
      </c>
    </row>
    <row r="18">
      <c r="A18" t="n">
        <v>17</v>
      </c>
      <c r="B18" s="28" t="n">
        <v>46150</v>
      </c>
      <c r="C18" t="inlineStr">
        <is>
          <t>Customer 006</t>
        </is>
      </c>
      <c r="D18" t="inlineStr">
        <is>
          <t>East</t>
        </is>
      </c>
      <c r="E18" t="inlineStr">
        <is>
          <t>Laptop</t>
        </is>
      </c>
      <c r="F18" t="n">
        <v>7</v>
      </c>
      <c r="G18" s="29" t="n">
        <v>58056.99</v>
      </c>
      <c r="H18" s="11" t="n">
        <v>0.05</v>
      </c>
      <c r="I18" s="29">
        <f>F18*G18</f>
        <v/>
      </c>
      <c r="J18" s="29" t="n">
        <v>331901.7</v>
      </c>
      <c r="K18" s="29">
        <f>I18*(1-H18)-J18</f>
        <v/>
      </c>
      <c r="L18" s="30">
        <f>NOW()</f>
        <v/>
      </c>
    </row>
    <row r="19">
      <c r="A19" t="n">
        <v>18</v>
      </c>
      <c r="B19" s="28" t="n">
        <v>46268</v>
      </c>
      <c r="C19" t="inlineStr">
        <is>
          <t>Customer 002</t>
        </is>
      </c>
      <c r="D19" t="inlineStr">
        <is>
          <t>South</t>
        </is>
      </c>
      <c r="E19" t="inlineStr">
        <is>
          <t>Phone</t>
        </is>
      </c>
      <c r="F19" t="n">
        <v>6</v>
      </c>
      <c r="G19" s="29" t="n">
        <v>28143.52</v>
      </c>
      <c r="H19" s="11" t="n">
        <v>0.15</v>
      </c>
      <c r="I19" s="29">
        <f>F19*G19</f>
        <v/>
      </c>
      <c r="J19" s="29" t="n">
        <v>120873.04</v>
      </c>
      <c r="K19" s="29">
        <f>I19*(1-H19)-J19</f>
        <v/>
      </c>
      <c r="L19" s="30">
        <f>NOW()</f>
        <v/>
      </c>
    </row>
    <row r="20">
      <c r="A20" t="n">
        <v>19</v>
      </c>
      <c r="B20" s="28" t="n">
        <v>46131</v>
      </c>
      <c r="C20" t="inlineStr">
        <is>
          <t>Customer 029</t>
        </is>
      </c>
      <c r="D20" t="inlineStr">
        <is>
          <t>South</t>
        </is>
      </c>
      <c r="E20" t="inlineStr">
        <is>
          <t>Phone</t>
        </is>
      </c>
      <c r="F20" t="n">
        <v>3</v>
      </c>
      <c r="G20" s="29" t="n">
        <v>28567.59</v>
      </c>
      <c r="H20" s="11" t="n">
        <v>0.1</v>
      </c>
      <c r="I20" s="29">
        <f>F20*G20</f>
        <v/>
      </c>
      <c r="J20" s="29" t="n">
        <v>61439.6</v>
      </c>
      <c r="K20" s="29">
        <f>I20*(1-H20)-J20</f>
        <v/>
      </c>
      <c r="L20" s="30">
        <f>NOW()</f>
        <v/>
      </c>
    </row>
    <row r="21">
      <c r="A21" t="n">
        <v>20</v>
      </c>
      <c r="B21" s="28" t="n">
        <v>46267</v>
      </c>
      <c r="C21" t="inlineStr">
        <is>
          <t>Customer 010</t>
        </is>
      </c>
      <c r="D21" t="inlineStr">
        <is>
          <t>North</t>
        </is>
      </c>
      <c r="E21" t="inlineStr">
        <is>
          <t>Monitor</t>
        </is>
      </c>
      <c r="F21" t="n">
        <v>5</v>
      </c>
      <c r="G21" s="29" t="n">
        <v>13372.75</v>
      </c>
      <c r="H21" s="11" t="n">
        <v>0.15</v>
      </c>
      <c r="I21" s="29">
        <f>F21*G21</f>
        <v/>
      </c>
      <c r="J21" s="29" t="n">
        <v>41592.38</v>
      </c>
      <c r="K21" s="29">
        <f>I21*(1-H21)-J21</f>
        <v/>
      </c>
      <c r="L21" s="30">
        <f>NOW()</f>
        <v/>
      </c>
    </row>
    <row r="22">
      <c r="A22" t="n">
        <v>21</v>
      </c>
      <c r="B22" s="28" t="n">
        <v>46087</v>
      </c>
      <c r="C22" t="inlineStr">
        <is>
          <t>Customer 023</t>
        </is>
      </c>
      <c r="D22" t="inlineStr">
        <is>
          <t>West</t>
        </is>
      </c>
      <c r="E22" t="inlineStr">
        <is>
          <t>Tablet</t>
        </is>
      </c>
      <c r="F22" t="n">
        <v>5</v>
      </c>
      <c r="G22" s="29" t="n">
        <v>21235.15</v>
      </c>
      <c r="H22" s="11" t="n">
        <v>0.05</v>
      </c>
      <c r="I22" s="29">
        <f>F22*G22</f>
        <v/>
      </c>
      <c r="J22" s="29" t="n">
        <v>83914.56</v>
      </c>
      <c r="K22" s="29">
        <f>I22*(1-H22)-J22</f>
        <v/>
      </c>
      <c r="L22" s="30">
        <f>NOW()</f>
        <v/>
      </c>
    </row>
    <row r="23">
      <c r="A23" t="n">
        <v>22</v>
      </c>
      <c r="B23" s="28" t="n">
        <v>46238</v>
      </c>
      <c r="C23" t="inlineStr">
        <is>
          <t>Customer 009</t>
        </is>
      </c>
      <c r="D23" t="inlineStr">
        <is>
          <t>East</t>
        </is>
      </c>
      <c r="E23" t="inlineStr">
        <is>
          <t>Phone</t>
        </is>
      </c>
      <c r="F23" t="n">
        <v>2</v>
      </c>
      <c r="G23" s="29" t="n">
        <v>25995.02</v>
      </c>
      <c r="H23" s="11" t="n">
        <v>0.1</v>
      </c>
      <c r="I23" s="29">
        <f>F23*G23</f>
        <v/>
      </c>
      <c r="J23" s="29" t="n">
        <v>33210.6</v>
      </c>
      <c r="K23" s="29">
        <f>I23*(1-H23)-J23</f>
        <v/>
      </c>
      <c r="L23" s="30">
        <f>NOW()</f>
        <v/>
      </c>
    </row>
    <row r="24">
      <c r="A24" t="n">
        <v>23</v>
      </c>
      <c r="B24" s="28" t="n">
        <v>46035</v>
      </c>
      <c r="C24" t="inlineStr">
        <is>
          <t>Customer 021</t>
        </is>
      </c>
      <c r="D24" t="inlineStr">
        <is>
          <t>East</t>
        </is>
      </c>
      <c r="E24" t="inlineStr">
        <is>
          <t>Phone</t>
        </is>
      </c>
      <c r="F24" t="n">
        <v>1</v>
      </c>
      <c r="G24" s="29" t="n">
        <v>30057.08</v>
      </c>
      <c r="H24" s="11" t="n">
        <v>0.15</v>
      </c>
      <c r="I24" s="29">
        <f>F24*G24</f>
        <v/>
      </c>
      <c r="J24" s="29" t="n">
        <v>20326.64</v>
      </c>
      <c r="K24" s="29">
        <f>I24*(1-H24)-J24</f>
        <v/>
      </c>
      <c r="L24" s="30">
        <f>NOW()</f>
        <v/>
      </c>
    </row>
    <row r="25">
      <c r="A25" t="n">
        <v>24</v>
      </c>
      <c r="B25" s="28" t="n">
        <v>46178</v>
      </c>
      <c r="C25" t="inlineStr">
        <is>
          <t>Customer 018</t>
        </is>
      </c>
      <c r="D25" t="inlineStr">
        <is>
          <t>South</t>
        </is>
      </c>
      <c r="E25" t="inlineStr">
        <is>
          <t>Headphones</t>
        </is>
      </c>
      <c r="F25" t="n">
        <v>4</v>
      </c>
      <c r="G25" s="29" t="n">
        <v>3771.57</v>
      </c>
      <c r="H25" s="11" t="n">
        <v>0.12</v>
      </c>
      <c r="I25" s="29">
        <f>F25*G25</f>
        <v/>
      </c>
      <c r="J25" s="29" t="n">
        <v>9854.6</v>
      </c>
      <c r="K25" s="29">
        <f>I25*(1-H25)-J25</f>
        <v/>
      </c>
      <c r="L25" s="30">
        <f>NOW()</f>
        <v/>
      </c>
    </row>
    <row r="26">
      <c r="A26" t="n">
        <v>25</v>
      </c>
      <c r="B26" s="28" t="n">
        <v>46117</v>
      </c>
      <c r="C26" t="inlineStr">
        <is>
          <t>Customer 028</t>
        </is>
      </c>
      <c r="D26" t="inlineStr">
        <is>
          <t>East</t>
        </is>
      </c>
      <c r="E26" t="inlineStr">
        <is>
          <t>Phone</t>
        </is>
      </c>
      <c r="F26" t="n">
        <v>6</v>
      </c>
      <c r="G26" s="29" t="n">
        <v>29367.51</v>
      </c>
      <c r="H26" s="11" t="n">
        <v>0.02</v>
      </c>
      <c r="I26" s="29">
        <f>F26*G26</f>
        <v/>
      </c>
      <c r="J26" s="29" t="n">
        <v>130529.11</v>
      </c>
      <c r="K26" s="29">
        <f>I26*(1-H26)-J26</f>
        <v/>
      </c>
      <c r="L26" s="30">
        <f>NOW()</f>
        <v/>
      </c>
    </row>
    <row r="27">
      <c r="A27" t="n">
        <v>26</v>
      </c>
      <c r="B27" s="28" t="n">
        <v>46281</v>
      </c>
      <c r="C27" t="inlineStr">
        <is>
          <t>Customer 028</t>
        </is>
      </c>
      <c r="D27" t="inlineStr">
        <is>
          <t>West</t>
        </is>
      </c>
      <c r="E27" t="inlineStr">
        <is>
          <t>Laptop</t>
        </is>
      </c>
      <c r="F27" t="n">
        <v>4</v>
      </c>
      <c r="G27" s="29" t="n">
        <v>59566.56</v>
      </c>
      <c r="H27" s="11" t="n">
        <v>0.02</v>
      </c>
      <c r="I27" s="29">
        <f>F27*G27</f>
        <v/>
      </c>
      <c r="J27" s="29" t="n">
        <v>166688.06</v>
      </c>
      <c r="K27" s="29">
        <f>I27*(1-H27)-J27</f>
        <v/>
      </c>
      <c r="L27" s="30">
        <f>NOW()</f>
        <v/>
      </c>
    </row>
    <row r="28">
      <c r="A28" t="n">
        <v>27</v>
      </c>
      <c r="B28" s="28" t="n">
        <v>46313</v>
      </c>
      <c r="C28" t="inlineStr">
        <is>
          <t>Customer 006</t>
        </is>
      </c>
      <c r="D28" t="inlineStr">
        <is>
          <t>North</t>
        </is>
      </c>
      <c r="E28" t="inlineStr">
        <is>
          <t>Tablet</t>
        </is>
      </c>
      <c r="F28" t="n">
        <v>6</v>
      </c>
      <c r="G28" s="29" t="n">
        <v>22462.82</v>
      </c>
      <c r="H28" s="11" t="n">
        <v>0.15</v>
      </c>
      <c r="I28" s="29">
        <f>F28*G28</f>
        <v/>
      </c>
      <c r="J28" s="29" t="n">
        <v>84691.42</v>
      </c>
      <c r="K28" s="29">
        <f>I28*(1-H28)-J28</f>
        <v/>
      </c>
      <c r="L28" s="30">
        <f>NOW()</f>
        <v/>
      </c>
    </row>
    <row r="29">
      <c r="A29" t="n">
        <v>28</v>
      </c>
      <c r="B29" s="28" t="n">
        <v>46222</v>
      </c>
      <c r="C29" t="inlineStr">
        <is>
          <t>Customer 005</t>
        </is>
      </c>
      <c r="D29" t="inlineStr">
        <is>
          <t>South</t>
        </is>
      </c>
      <c r="E29" t="inlineStr">
        <is>
          <t>Tablet</t>
        </is>
      </c>
      <c r="F29" t="n">
        <v>7</v>
      </c>
      <c r="G29" s="29" t="n">
        <v>22013.73</v>
      </c>
      <c r="H29" s="11" t="n">
        <v>0.12</v>
      </c>
      <c r="I29" s="29">
        <f>F29*G29</f>
        <v/>
      </c>
      <c r="J29" s="29" t="n">
        <v>110642.83</v>
      </c>
      <c r="K29" s="29">
        <f>I29*(1-H29)-J29</f>
        <v/>
      </c>
      <c r="L29" s="30">
        <f>NOW()</f>
        <v/>
      </c>
    </row>
    <row r="30">
      <c r="A30" t="n">
        <v>29</v>
      </c>
      <c r="B30" s="28" t="n">
        <v>46073</v>
      </c>
      <c r="C30" t="inlineStr">
        <is>
          <t>Customer 018</t>
        </is>
      </c>
      <c r="D30" t="inlineStr">
        <is>
          <t>West</t>
        </is>
      </c>
      <c r="E30" t="inlineStr">
        <is>
          <t>Monitor</t>
        </is>
      </c>
      <c r="F30" t="n">
        <v>5</v>
      </c>
      <c r="G30" s="29" t="n">
        <v>14656.8</v>
      </c>
      <c r="H30" s="11" t="n">
        <v>0.12</v>
      </c>
      <c r="I30" s="29">
        <f>F30*G30</f>
        <v/>
      </c>
      <c r="J30" s="29" t="n">
        <v>49981.99</v>
      </c>
      <c r="K30" s="29">
        <f>I30*(1-H30)-J30</f>
        <v/>
      </c>
      <c r="L30" s="30">
        <f>NOW()</f>
        <v/>
      </c>
    </row>
    <row r="31">
      <c r="A31" t="n">
        <v>30</v>
      </c>
      <c r="B31" s="28" t="n">
        <v>46292</v>
      </c>
      <c r="C31" t="inlineStr">
        <is>
          <t>Customer 025</t>
        </is>
      </c>
      <c r="D31" t="inlineStr">
        <is>
          <t>North</t>
        </is>
      </c>
      <c r="E31" t="inlineStr">
        <is>
          <t>Laptop</t>
        </is>
      </c>
      <c r="F31" t="n">
        <v>5</v>
      </c>
      <c r="G31" s="29" t="n">
        <v>63776.26</v>
      </c>
      <c r="H31" s="11" t="n">
        <v>0.05</v>
      </c>
      <c r="I31" s="29">
        <f>F31*G31</f>
        <v/>
      </c>
      <c r="J31" s="29" t="n">
        <v>220361.38</v>
      </c>
      <c r="K31" s="29">
        <f>I31*(1-H31)-J31</f>
        <v/>
      </c>
      <c r="L31" s="30">
        <f>NOW()</f>
        <v/>
      </c>
    </row>
    <row r="32">
      <c r="A32" t="n">
        <v>31</v>
      </c>
      <c r="B32" s="28" t="n">
        <v>46185</v>
      </c>
      <c r="C32" t="inlineStr">
        <is>
          <t>Customer 022</t>
        </is>
      </c>
      <c r="D32" t="inlineStr">
        <is>
          <t>East</t>
        </is>
      </c>
      <c r="E32" t="inlineStr">
        <is>
          <t>Laptop</t>
        </is>
      </c>
      <c r="F32" t="n">
        <v>7</v>
      </c>
      <c r="G32" s="29" t="n">
        <v>54913.3</v>
      </c>
      <c r="H32" s="11" t="n">
        <v>0.02</v>
      </c>
      <c r="I32" s="29">
        <f>F32*G32</f>
        <v/>
      </c>
      <c r="J32" s="29" t="n">
        <v>286491.8</v>
      </c>
      <c r="K32" s="29">
        <f>I32*(1-H32)-J32</f>
        <v/>
      </c>
      <c r="L32" s="30">
        <f>NOW()</f>
        <v/>
      </c>
    </row>
    <row r="33">
      <c r="A33" t="n">
        <v>32</v>
      </c>
      <c r="B33" s="28" t="n">
        <v>46252</v>
      </c>
      <c r="C33" t="inlineStr">
        <is>
          <t>Customer 017</t>
        </is>
      </c>
      <c r="D33" t="inlineStr">
        <is>
          <t>West</t>
        </is>
      </c>
      <c r="E33" t="inlineStr">
        <is>
          <t>Headphones</t>
        </is>
      </c>
      <c r="F33" t="n">
        <v>4</v>
      </c>
      <c r="G33" s="29" t="n">
        <v>3512.2</v>
      </c>
      <c r="H33" s="11" t="n">
        <v>0.1</v>
      </c>
      <c r="I33" s="29">
        <f>F33*G33</f>
        <v/>
      </c>
      <c r="J33" s="29" t="n">
        <v>11170.66</v>
      </c>
      <c r="K33" s="29">
        <f>I33*(1-H33)-J33</f>
        <v/>
      </c>
      <c r="L33" s="30">
        <f>NOW()</f>
        <v/>
      </c>
    </row>
    <row r="34">
      <c r="A34" t="n">
        <v>33</v>
      </c>
      <c r="B34" s="28" t="n">
        <v>46059</v>
      </c>
      <c r="C34" t="inlineStr">
        <is>
          <t>Customer 008</t>
        </is>
      </c>
      <c r="D34" t="inlineStr">
        <is>
          <t>West</t>
        </is>
      </c>
      <c r="E34" t="inlineStr">
        <is>
          <t>Laptop</t>
        </is>
      </c>
      <c r="F34" t="n">
        <v>6</v>
      </c>
      <c r="G34" s="29" t="n">
        <v>59206.99</v>
      </c>
      <c r="H34" s="11" t="n">
        <v>0.05</v>
      </c>
      <c r="I34" s="29">
        <f>F34*G34</f>
        <v/>
      </c>
      <c r="J34" s="29" t="n">
        <v>239829.68</v>
      </c>
      <c r="K34" s="29">
        <f>I34*(1-H34)-J34</f>
        <v/>
      </c>
      <c r="L34" s="30">
        <f>NOW()</f>
        <v/>
      </c>
    </row>
    <row r="35">
      <c r="A35" t="n">
        <v>34</v>
      </c>
      <c r="B35" s="28" t="n">
        <v>46230</v>
      </c>
      <c r="C35" t="inlineStr">
        <is>
          <t>Customer 024</t>
        </is>
      </c>
      <c r="D35" t="inlineStr">
        <is>
          <t>East</t>
        </is>
      </c>
      <c r="E35" t="inlineStr">
        <is>
          <t>Headphones</t>
        </is>
      </c>
      <c r="F35" t="n">
        <v>7</v>
      </c>
      <c r="G35" s="29" t="n">
        <v>3315.51</v>
      </c>
      <c r="H35" s="11" t="n">
        <v>0.1</v>
      </c>
      <c r="I35" s="29">
        <f>F35*G35</f>
        <v/>
      </c>
      <c r="J35" s="29" t="n">
        <v>15909.47</v>
      </c>
      <c r="K35" s="29">
        <f>I35*(1-H35)-J35</f>
        <v/>
      </c>
      <c r="L35" s="30">
        <f>NOW()</f>
        <v/>
      </c>
    </row>
    <row r="36">
      <c r="A36" t="n">
        <v>35</v>
      </c>
      <c r="B36" s="28" t="n">
        <v>46139</v>
      </c>
      <c r="C36" t="inlineStr">
        <is>
          <t>Customer 021</t>
        </is>
      </c>
      <c r="D36" t="inlineStr">
        <is>
          <t>West</t>
        </is>
      </c>
      <c r="E36" t="inlineStr">
        <is>
          <t>Laptop</t>
        </is>
      </c>
      <c r="F36" t="n">
        <v>4</v>
      </c>
      <c r="G36" s="29" t="n">
        <v>56074.17</v>
      </c>
      <c r="H36" s="11" t="n">
        <v>0.08</v>
      </c>
      <c r="I36" s="29">
        <f>F36*G36</f>
        <v/>
      </c>
      <c r="J36" s="29" t="n">
        <v>171235.87</v>
      </c>
      <c r="K36" s="29">
        <f>I36*(1-H36)-J36</f>
        <v/>
      </c>
      <c r="L36" s="30">
        <f>NOW()</f>
        <v/>
      </c>
    </row>
    <row r="37">
      <c r="A37" t="n">
        <v>36</v>
      </c>
      <c r="B37" s="28" t="n">
        <v>46133</v>
      </c>
      <c r="C37" t="inlineStr">
        <is>
          <t>Customer 025</t>
        </is>
      </c>
      <c r="D37" t="inlineStr">
        <is>
          <t>East</t>
        </is>
      </c>
      <c r="E37" t="inlineStr">
        <is>
          <t>Monitor</t>
        </is>
      </c>
      <c r="F37" t="n">
        <v>6</v>
      </c>
      <c r="G37" s="29" t="n">
        <v>14646.9</v>
      </c>
      <c r="H37" s="11" t="n">
        <v>0.12</v>
      </c>
      <c r="I37" s="29">
        <f>F37*G37</f>
        <v/>
      </c>
      <c r="J37" s="29" t="n">
        <v>66772.74000000001</v>
      </c>
      <c r="K37" s="29">
        <f>I37*(1-H37)-J37</f>
        <v/>
      </c>
      <c r="L37" s="30">
        <f>NOW()</f>
        <v/>
      </c>
    </row>
    <row r="38">
      <c r="A38" t="n">
        <v>37</v>
      </c>
      <c r="B38" s="28" t="n">
        <v>46157</v>
      </c>
      <c r="C38" t="inlineStr">
        <is>
          <t>Customer 008</t>
        </is>
      </c>
      <c r="D38" t="inlineStr">
        <is>
          <t>East</t>
        </is>
      </c>
      <c r="E38" t="inlineStr">
        <is>
          <t>Headphones</t>
        </is>
      </c>
      <c r="F38" t="n">
        <v>4</v>
      </c>
      <c r="G38" s="29" t="n">
        <v>3364.17</v>
      </c>
      <c r="H38" s="11" t="n">
        <v>0.1</v>
      </c>
      <c r="I38" s="29">
        <f>F38*G38</f>
        <v/>
      </c>
      <c r="J38" s="29" t="n">
        <v>10563.05</v>
      </c>
      <c r="K38" s="29">
        <f>I38*(1-H38)-J38</f>
        <v/>
      </c>
      <c r="L38" s="30">
        <f>NOW()</f>
        <v/>
      </c>
    </row>
    <row r="39">
      <c r="A39" t="n">
        <v>38</v>
      </c>
      <c r="B39" s="28" t="n">
        <v>46026</v>
      </c>
      <c r="C39" t="inlineStr">
        <is>
          <t>Customer 006</t>
        </is>
      </c>
      <c r="D39" t="inlineStr">
        <is>
          <t>South</t>
        </is>
      </c>
      <c r="E39" t="inlineStr">
        <is>
          <t>Phone</t>
        </is>
      </c>
      <c r="F39" t="n">
        <v>3</v>
      </c>
      <c r="G39" s="29" t="n">
        <v>30103.71</v>
      </c>
      <c r="H39" s="11" t="n">
        <v>0.15</v>
      </c>
      <c r="I39" s="29">
        <f>F39*G39</f>
        <v/>
      </c>
      <c r="J39" s="29" t="n">
        <v>58619.54</v>
      </c>
      <c r="K39" s="29">
        <f>I39*(1-H39)-J39</f>
        <v/>
      </c>
      <c r="L39" s="30">
        <f>NOW()</f>
        <v/>
      </c>
    </row>
    <row r="40">
      <c r="A40" t="n">
        <v>39</v>
      </c>
      <c r="B40" s="28" t="n">
        <v>46306</v>
      </c>
      <c r="C40" t="inlineStr">
        <is>
          <t>Customer 006</t>
        </is>
      </c>
      <c r="D40" t="inlineStr">
        <is>
          <t>West</t>
        </is>
      </c>
      <c r="E40" t="inlineStr">
        <is>
          <t>Monitor</t>
        </is>
      </c>
      <c r="F40" t="n">
        <v>3</v>
      </c>
      <c r="G40" s="29" t="n">
        <v>14335.91</v>
      </c>
      <c r="H40" s="11" t="n">
        <v>0.1</v>
      </c>
      <c r="I40" s="29">
        <f>F40*G40</f>
        <v/>
      </c>
      <c r="J40" s="29" t="n">
        <v>33050.2</v>
      </c>
      <c r="K40" s="29">
        <f>I40*(1-H40)-J40</f>
        <v/>
      </c>
      <c r="L40" s="30">
        <f>NOW()</f>
        <v/>
      </c>
    </row>
    <row r="41">
      <c r="A41" t="n">
        <v>40</v>
      </c>
      <c r="B41" s="28" t="n">
        <v>46259</v>
      </c>
      <c r="C41" t="inlineStr">
        <is>
          <t>Customer 004</t>
        </is>
      </c>
      <c r="D41" t="inlineStr">
        <is>
          <t>North</t>
        </is>
      </c>
      <c r="E41" t="inlineStr">
        <is>
          <t>Headphones</t>
        </is>
      </c>
      <c r="F41" t="n">
        <v>2</v>
      </c>
      <c r="G41" s="29" t="n">
        <v>3625.07</v>
      </c>
      <c r="H41" s="11" t="n">
        <v>0.08</v>
      </c>
      <c r="I41" s="29">
        <f>F41*G41</f>
        <v/>
      </c>
      <c r="J41" s="29" t="n">
        <v>5425.39</v>
      </c>
      <c r="K41" s="29">
        <f>I41*(1-H41)-J41</f>
        <v/>
      </c>
      <c r="L41" s="30">
        <f>NOW()</f>
        <v/>
      </c>
    </row>
    <row r="42">
      <c r="A42" t="n">
        <v>41</v>
      </c>
      <c r="B42" s="28" t="n">
        <v>46119</v>
      </c>
      <c r="C42" t="inlineStr">
        <is>
          <t>Customer 009</t>
        </is>
      </c>
      <c r="D42" t="inlineStr">
        <is>
          <t>West</t>
        </is>
      </c>
      <c r="E42" t="inlineStr">
        <is>
          <t>Laptop</t>
        </is>
      </c>
      <c r="F42" t="n">
        <v>3</v>
      </c>
      <c r="G42" s="29" t="n">
        <v>60176.08</v>
      </c>
      <c r="H42" s="11" t="n">
        <v>0.05</v>
      </c>
      <c r="I42" s="29">
        <f>F42*G42</f>
        <v/>
      </c>
      <c r="J42" s="29" t="n">
        <v>144412.51</v>
      </c>
      <c r="K42" s="29">
        <f>I42*(1-H42)-J42</f>
        <v/>
      </c>
      <c r="L42" s="30">
        <f>NOW()</f>
        <v/>
      </c>
    </row>
    <row r="43">
      <c r="A43" t="n">
        <v>42</v>
      </c>
      <c r="B43" s="28" t="n">
        <v>46282</v>
      </c>
      <c r="C43" t="inlineStr">
        <is>
          <t>Customer 007</t>
        </is>
      </c>
      <c r="D43" t="inlineStr">
        <is>
          <t>North</t>
        </is>
      </c>
      <c r="E43" t="inlineStr">
        <is>
          <t>Monitor</t>
        </is>
      </c>
      <c r="F43" t="n">
        <v>6</v>
      </c>
      <c r="G43" s="29" t="n">
        <v>13376.75</v>
      </c>
      <c r="H43" s="11" t="n">
        <v>0.1</v>
      </c>
      <c r="I43" s="29">
        <f>F43*G43</f>
        <v/>
      </c>
      <c r="J43" s="29" t="n">
        <v>52284.32</v>
      </c>
      <c r="K43" s="29">
        <f>I43*(1-H43)-J43</f>
        <v/>
      </c>
      <c r="L43" s="30">
        <f>NOW()</f>
        <v/>
      </c>
    </row>
    <row r="44">
      <c r="A44" t="n">
        <v>43</v>
      </c>
      <c r="B44" s="28" t="n">
        <v>46224</v>
      </c>
      <c r="C44" t="inlineStr">
        <is>
          <t>Customer 015</t>
        </is>
      </c>
      <c r="D44" t="inlineStr">
        <is>
          <t>East</t>
        </is>
      </c>
      <c r="E44" t="inlineStr">
        <is>
          <t>Headphones</t>
        </is>
      </c>
      <c r="F44" t="n">
        <v>4</v>
      </c>
      <c r="G44" s="29" t="n">
        <v>3581.96</v>
      </c>
      <c r="H44" s="11" t="n">
        <v>0.08</v>
      </c>
      <c r="I44" s="29">
        <f>F44*G44</f>
        <v/>
      </c>
      <c r="J44" s="29" t="n">
        <v>10802.02</v>
      </c>
      <c r="K44" s="29">
        <f>I44*(1-H44)-J44</f>
        <v/>
      </c>
      <c r="L44" s="30">
        <f>NOW()</f>
        <v/>
      </c>
    </row>
    <row r="45">
      <c r="A45" t="n">
        <v>44</v>
      </c>
      <c r="B45" s="28" t="n">
        <v>46219</v>
      </c>
      <c r="C45" t="inlineStr">
        <is>
          <t>Customer 020</t>
        </is>
      </c>
      <c r="D45" t="inlineStr">
        <is>
          <t>South</t>
        </is>
      </c>
      <c r="E45" t="inlineStr">
        <is>
          <t>Laptop</t>
        </is>
      </c>
      <c r="F45" t="n">
        <v>2</v>
      </c>
      <c r="G45" s="29" t="n">
        <v>65702.09</v>
      </c>
      <c r="H45" s="11" t="n">
        <v>0.05</v>
      </c>
      <c r="I45" s="29">
        <f>F45*G45</f>
        <v/>
      </c>
      <c r="J45" s="29" t="n">
        <v>82374.03</v>
      </c>
      <c r="K45" s="29">
        <f>I45*(1-H45)-J45</f>
        <v/>
      </c>
      <c r="L45" s="30">
        <f>NOW()</f>
        <v/>
      </c>
    </row>
    <row r="46">
      <c r="A46" t="n">
        <v>45</v>
      </c>
      <c r="B46" s="28" t="n">
        <v>46211</v>
      </c>
      <c r="C46" t="inlineStr">
        <is>
          <t>Customer 001</t>
        </is>
      </c>
      <c r="D46" t="inlineStr">
        <is>
          <t>West</t>
        </is>
      </c>
      <c r="E46" t="inlineStr">
        <is>
          <t>Monitor</t>
        </is>
      </c>
      <c r="F46" t="n">
        <v>5</v>
      </c>
      <c r="G46" s="29" t="n">
        <v>12709.95</v>
      </c>
      <c r="H46" s="11" t="n">
        <v>0.12</v>
      </c>
      <c r="I46" s="29">
        <f>F46*G46</f>
        <v/>
      </c>
      <c r="J46" s="29" t="n">
        <v>45008.93</v>
      </c>
      <c r="K46" s="29">
        <f>I46*(1-H46)-J46</f>
        <v/>
      </c>
      <c r="L46" s="30">
        <f>NOW()</f>
        <v/>
      </c>
    </row>
    <row r="47">
      <c r="A47" t="n">
        <v>46</v>
      </c>
      <c r="B47" s="28" t="n">
        <v>46253</v>
      </c>
      <c r="C47" t="inlineStr">
        <is>
          <t>Customer 008</t>
        </is>
      </c>
      <c r="D47" t="inlineStr">
        <is>
          <t>West</t>
        </is>
      </c>
      <c r="E47" t="inlineStr">
        <is>
          <t>Monitor</t>
        </is>
      </c>
      <c r="F47" t="n">
        <v>2</v>
      </c>
      <c r="G47" s="29" t="n">
        <v>12864.65</v>
      </c>
      <c r="H47" s="11" t="n">
        <v>0.08</v>
      </c>
      <c r="I47" s="29">
        <f>F47*G47</f>
        <v/>
      </c>
      <c r="J47" s="29" t="n">
        <v>16931.44</v>
      </c>
      <c r="K47" s="29">
        <f>I47*(1-H47)-J47</f>
        <v/>
      </c>
      <c r="L47" s="30">
        <f>NOW()</f>
        <v/>
      </c>
    </row>
    <row r="48">
      <c r="A48" t="n">
        <v>47</v>
      </c>
      <c r="B48" s="28" t="n">
        <v>46212</v>
      </c>
      <c r="C48" t="inlineStr">
        <is>
          <t>Customer 029</t>
        </is>
      </c>
      <c r="D48" t="inlineStr">
        <is>
          <t>West</t>
        </is>
      </c>
      <c r="E48" t="inlineStr">
        <is>
          <t>Tablet</t>
        </is>
      </c>
      <c r="F48" t="n">
        <v>2</v>
      </c>
      <c r="G48" s="29" t="n">
        <v>20393.79</v>
      </c>
      <c r="H48" s="11" t="n">
        <v>0.1</v>
      </c>
      <c r="I48" s="29">
        <f>F48*G48</f>
        <v/>
      </c>
      <c r="J48" s="29" t="n">
        <v>29607.02</v>
      </c>
      <c r="K48" s="29">
        <f>I48*(1-H48)-J48</f>
        <v/>
      </c>
      <c r="L48" s="30">
        <f>NOW()</f>
        <v/>
      </c>
    </row>
    <row r="49">
      <c r="A49" t="n">
        <v>48</v>
      </c>
      <c r="B49" s="28" t="n">
        <v>46048</v>
      </c>
      <c r="C49" t="inlineStr">
        <is>
          <t>Customer 010</t>
        </is>
      </c>
      <c r="D49" t="inlineStr">
        <is>
          <t>North</t>
        </is>
      </c>
      <c r="E49" t="inlineStr">
        <is>
          <t>Headphones</t>
        </is>
      </c>
      <c r="F49" t="n">
        <v>4</v>
      </c>
      <c r="G49" s="29" t="n">
        <v>3767.78</v>
      </c>
      <c r="H49" s="11" t="n">
        <v>0.05</v>
      </c>
      <c r="I49" s="29">
        <f>F49*G49</f>
        <v/>
      </c>
      <c r="J49" s="29" t="n">
        <v>10022.66</v>
      </c>
      <c r="K49" s="29">
        <f>I49*(1-H49)-J49</f>
        <v/>
      </c>
      <c r="L49" s="30">
        <f>NOW()</f>
        <v/>
      </c>
    </row>
    <row r="50">
      <c r="A50" t="n">
        <v>49</v>
      </c>
      <c r="B50" s="28" t="n">
        <v>46262</v>
      </c>
      <c r="C50" t="inlineStr">
        <is>
          <t>Customer 029</t>
        </is>
      </c>
      <c r="D50" t="inlineStr">
        <is>
          <t>West</t>
        </is>
      </c>
      <c r="E50" t="inlineStr">
        <is>
          <t>Monitor</t>
        </is>
      </c>
      <c r="F50" t="n">
        <v>1</v>
      </c>
      <c r="G50" s="29" t="n">
        <v>12825.24</v>
      </c>
      <c r="H50" s="11" t="n">
        <v>0.15</v>
      </c>
      <c r="I50" s="29">
        <f>F50*G50</f>
        <v/>
      </c>
      <c r="J50" s="29" t="n">
        <v>10488.78</v>
      </c>
      <c r="K50" s="29">
        <f>I50*(1-H50)-J50</f>
        <v/>
      </c>
      <c r="L50" s="30">
        <f>NOW()</f>
        <v/>
      </c>
    </row>
    <row r="51">
      <c r="A51" t="n">
        <v>50</v>
      </c>
      <c r="B51" s="28" t="n">
        <v>46119</v>
      </c>
      <c r="C51" t="inlineStr">
        <is>
          <t>Customer 005</t>
        </is>
      </c>
      <c r="D51" t="inlineStr">
        <is>
          <t>West</t>
        </is>
      </c>
      <c r="E51" t="inlineStr">
        <is>
          <t>Headphones</t>
        </is>
      </c>
      <c r="F51" t="n">
        <v>7</v>
      </c>
      <c r="G51" s="29" t="n">
        <v>3518.59</v>
      </c>
      <c r="H51" s="11" t="n">
        <v>0.12</v>
      </c>
      <c r="I51" s="29">
        <f>F51*G51</f>
        <v/>
      </c>
      <c r="J51" s="29" t="n">
        <v>18326.21</v>
      </c>
      <c r="K51" s="29">
        <f>I51*(1-H51)-J51</f>
        <v/>
      </c>
      <c r="L51" s="30">
        <f>NOW()</f>
        <v/>
      </c>
    </row>
    <row r="52">
      <c r="A52" t="n">
        <v>51</v>
      </c>
      <c r="B52" s="28" t="n">
        <v>46264</v>
      </c>
      <c r="C52" t="inlineStr">
        <is>
          <t>Customer 022</t>
        </is>
      </c>
      <c r="D52" t="inlineStr">
        <is>
          <t>South</t>
        </is>
      </c>
      <c r="E52" t="inlineStr">
        <is>
          <t>Phone</t>
        </is>
      </c>
      <c r="F52" t="n">
        <v>3</v>
      </c>
      <c r="G52" s="29" t="n">
        <v>26059.44</v>
      </c>
      <c r="H52" s="11" t="n">
        <v>0.08</v>
      </c>
      <c r="I52" s="29">
        <f>F52*G52</f>
        <v/>
      </c>
      <c r="J52" s="29" t="n">
        <v>53129.8</v>
      </c>
      <c r="K52" s="29">
        <f>I52*(1-H52)-J52</f>
        <v/>
      </c>
      <c r="L52" s="30">
        <f>NOW()</f>
        <v/>
      </c>
    </row>
    <row r="53">
      <c r="A53" t="n">
        <v>52</v>
      </c>
      <c r="B53" s="28" t="n">
        <v>46027</v>
      </c>
      <c r="C53" t="inlineStr">
        <is>
          <t>Customer 029</t>
        </is>
      </c>
      <c r="D53" t="inlineStr">
        <is>
          <t>West</t>
        </is>
      </c>
      <c r="E53" t="inlineStr">
        <is>
          <t>Laptop</t>
        </is>
      </c>
      <c r="F53" t="n">
        <v>2</v>
      </c>
      <c r="G53" s="29" t="n">
        <v>60141.07</v>
      </c>
      <c r="H53" s="11" t="n">
        <v>0.15</v>
      </c>
      <c r="I53" s="29">
        <f>F53*G53</f>
        <v/>
      </c>
      <c r="J53" s="29" t="n">
        <v>94501.12</v>
      </c>
      <c r="K53" s="29">
        <f>I53*(1-H53)-J53</f>
        <v/>
      </c>
      <c r="L53" s="30">
        <f>NOW()</f>
        <v/>
      </c>
    </row>
    <row r="54">
      <c r="A54" t="n">
        <v>53</v>
      </c>
      <c r="B54" s="28" t="n">
        <v>46207</v>
      </c>
      <c r="C54" t="inlineStr">
        <is>
          <t>Customer 009</t>
        </is>
      </c>
      <c r="D54" t="inlineStr">
        <is>
          <t>South</t>
        </is>
      </c>
      <c r="E54" t="inlineStr">
        <is>
          <t>Laptop</t>
        </is>
      </c>
      <c r="F54" t="n">
        <v>2</v>
      </c>
      <c r="G54" s="29" t="n">
        <v>54445.77</v>
      </c>
      <c r="H54" s="11" t="n">
        <v>0.1</v>
      </c>
      <c r="I54" s="29">
        <f>F54*G54</f>
        <v/>
      </c>
      <c r="J54" s="29" t="n">
        <v>73507.21000000001</v>
      </c>
      <c r="K54" s="29">
        <f>I54*(1-H54)-J54</f>
        <v/>
      </c>
      <c r="L54" s="30">
        <f>NOW()</f>
        <v/>
      </c>
    </row>
    <row r="55">
      <c r="A55" t="n">
        <v>54</v>
      </c>
      <c r="B55" s="28" t="n">
        <v>46227</v>
      </c>
      <c r="C55" t="inlineStr">
        <is>
          <t>Customer 006</t>
        </is>
      </c>
      <c r="D55" t="inlineStr">
        <is>
          <t>West</t>
        </is>
      </c>
      <c r="E55" t="inlineStr">
        <is>
          <t>Laptop</t>
        </is>
      </c>
      <c r="F55" t="n">
        <v>2</v>
      </c>
      <c r="G55" s="29" t="n">
        <v>65170.38</v>
      </c>
      <c r="H55" s="11" t="n">
        <v>0.12</v>
      </c>
      <c r="I55" s="29">
        <f>F55*G55</f>
        <v/>
      </c>
      <c r="J55" s="29" t="n">
        <v>87339.69</v>
      </c>
      <c r="K55" s="29">
        <f>I55*(1-H55)-J55</f>
        <v/>
      </c>
      <c r="L55" s="30">
        <f>NOW()</f>
        <v/>
      </c>
    </row>
    <row r="56">
      <c r="A56" t="n">
        <v>55</v>
      </c>
      <c r="B56" s="28" t="n">
        <v>46124</v>
      </c>
      <c r="C56" t="inlineStr">
        <is>
          <t>Customer 023</t>
        </is>
      </c>
      <c r="D56" t="inlineStr">
        <is>
          <t>North</t>
        </is>
      </c>
      <c r="E56" t="inlineStr">
        <is>
          <t>Monitor</t>
        </is>
      </c>
      <c r="F56" t="n">
        <v>4</v>
      </c>
      <c r="G56" s="29" t="n">
        <v>12819.27</v>
      </c>
      <c r="H56" s="11" t="n">
        <v>0.05</v>
      </c>
      <c r="I56" s="29">
        <f>F56*G56</f>
        <v/>
      </c>
      <c r="J56" s="29" t="n">
        <v>33983.53</v>
      </c>
      <c r="K56" s="29">
        <f>I56*(1-H56)-J56</f>
        <v/>
      </c>
      <c r="L56" s="30">
        <f>NOW()</f>
        <v/>
      </c>
    </row>
    <row r="57">
      <c r="A57" t="n">
        <v>56</v>
      </c>
      <c r="B57" s="28" t="n">
        <v>46043</v>
      </c>
      <c r="C57" t="inlineStr">
        <is>
          <t>Customer 024</t>
        </is>
      </c>
      <c r="D57" t="inlineStr">
        <is>
          <t>South</t>
        </is>
      </c>
      <c r="E57" t="inlineStr">
        <is>
          <t>Monitor</t>
        </is>
      </c>
      <c r="F57" t="n">
        <v>5</v>
      </c>
      <c r="G57" s="29" t="n">
        <v>14372.41</v>
      </c>
      <c r="H57" s="11" t="n">
        <v>0.15</v>
      </c>
      <c r="I57" s="29">
        <f>F57*G57</f>
        <v/>
      </c>
      <c r="J57" s="29" t="n">
        <v>47056.62</v>
      </c>
      <c r="K57" s="29">
        <f>I57*(1-H57)-J57</f>
        <v/>
      </c>
      <c r="L57" s="30">
        <f>NOW()</f>
        <v/>
      </c>
    </row>
    <row r="58">
      <c r="A58" t="n">
        <v>57</v>
      </c>
      <c r="B58" s="28" t="n">
        <v>46211</v>
      </c>
      <c r="C58" t="inlineStr">
        <is>
          <t>Customer 016</t>
        </is>
      </c>
      <c r="D58" t="inlineStr">
        <is>
          <t>East</t>
        </is>
      </c>
      <c r="E58" t="inlineStr">
        <is>
          <t>Phone</t>
        </is>
      </c>
      <c r="F58" t="n">
        <v>7</v>
      </c>
      <c r="G58" s="29" t="n">
        <v>29965.35</v>
      </c>
      <c r="H58" s="11" t="n">
        <v>0.02</v>
      </c>
      <c r="I58" s="29">
        <f>F58*G58</f>
        <v/>
      </c>
      <c r="J58" s="29" t="n">
        <v>168073.08</v>
      </c>
      <c r="K58" s="29">
        <f>I58*(1-H58)-J58</f>
        <v/>
      </c>
      <c r="L58" s="30">
        <f>NOW()</f>
        <v/>
      </c>
    </row>
    <row r="59">
      <c r="A59" t="n">
        <v>58</v>
      </c>
      <c r="B59" s="28" t="n">
        <v>46051</v>
      </c>
      <c r="C59" t="inlineStr">
        <is>
          <t>Customer 007</t>
        </is>
      </c>
      <c r="D59" t="inlineStr">
        <is>
          <t>West</t>
        </is>
      </c>
      <c r="E59" t="inlineStr">
        <is>
          <t>Tablet</t>
        </is>
      </c>
      <c r="F59" t="n">
        <v>4</v>
      </c>
      <c r="G59" s="29" t="n">
        <v>20724.66</v>
      </c>
      <c r="H59" s="11" t="n">
        <v>0.1</v>
      </c>
      <c r="I59" s="29">
        <f>F59*G59</f>
        <v/>
      </c>
      <c r="J59" s="29" t="n">
        <v>66928.67</v>
      </c>
      <c r="K59" s="29">
        <f>I59*(1-H59)-J59</f>
        <v/>
      </c>
      <c r="L59" s="30">
        <f>NOW()</f>
        <v/>
      </c>
    </row>
    <row r="60">
      <c r="A60" t="n">
        <v>59</v>
      </c>
      <c r="B60" s="28" t="n">
        <v>46210</v>
      </c>
      <c r="C60" t="inlineStr">
        <is>
          <t>Customer 001</t>
        </is>
      </c>
      <c r="D60" t="inlineStr">
        <is>
          <t>South</t>
        </is>
      </c>
      <c r="E60" t="inlineStr">
        <is>
          <t>Phone</t>
        </is>
      </c>
      <c r="F60" t="n">
        <v>5</v>
      </c>
      <c r="G60" s="29" t="n">
        <v>26684.93</v>
      </c>
      <c r="H60" s="11" t="n">
        <v>0.02</v>
      </c>
      <c r="I60" s="29">
        <f>F60*G60</f>
        <v/>
      </c>
      <c r="J60" s="29" t="n">
        <v>102888.45</v>
      </c>
      <c r="K60" s="29">
        <f>I60*(1-H60)-J60</f>
        <v/>
      </c>
      <c r="L60" s="30">
        <f>NOW()</f>
        <v/>
      </c>
    </row>
    <row r="61">
      <c r="A61" t="n">
        <v>60</v>
      </c>
      <c r="B61" s="28" t="n">
        <v>46105</v>
      </c>
      <c r="C61" t="inlineStr">
        <is>
          <t>Customer 006</t>
        </is>
      </c>
      <c r="D61" t="inlineStr">
        <is>
          <t>East</t>
        </is>
      </c>
      <c r="E61" t="inlineStr">
        <is>
          <t>Phone</t>
        </is>
      </c>
      <c r="F61" t="n">
        <v>2</v>
      </c>
      <c r="G61" s="29" t="n">
        <v>30789.14</v>
      </c>
      <c r="H61" s="11" t="n">
        <v>0.12</v>
      </c>
      <c r="I61" s="29">
        <f>F61*G61</f>
        <v/>
      </c>
      <c r="J61" s="29" t="n">
        <v>41700.31</v>
      </c>
      <c r="K61" s="29">
        <f>I61*(1-H61)-J61</f>
        <v/>
      </c>
      <c r="L61" s="30">
        <f>NOW()</f>
        <v/>
      </c>
    </row>
    <row r="62">
      <c r="A62" t="n">
        <v>61</v>
      </c>
      <c r="B62" s="28" t="n">
        <v>46253</v>
      </c>
      <c r="C62" t="inlineStr">
        <is>
          <t>Customer 024</t>
        </is>
      </c>
      <c r="D62" t="inlineStr">
        <is>
          <t>South</t>
        </is>
      </c>
      <c r="E62" t="inlineStr">
        <is>
          <t>Laptop</t>
        </is>
      </c>
      <c r="F62" t="n">
        <v>2</v>
      </c>
      <c r="G62" s="29" t="n">
        <v>58866.89</v>
      </c>
      <c r="H62" s="11" t="n">
        <v>0.05</v>
      </c>
      <c r="I62" s="29">
        <f>F62*G62</f>
        <v/>
      </c>
      <c r="J62" s="29" t="n">
        <v>81280.81</v>
      </c>
      <c r="K62" s="29">
        <f>I62*(1-H62)-J62</f>
        <v/>
      </c>
      <c r="L62" s="30">
        <f>NOW()</f>
        <v/>
      </c>
    </row>
    <row r="63">
      <c r="A63" t="n">
        <v>62</v>
      </c>
      <c r="B63" s="28" t="n">
        <v>46208</v>
      </c>
      <c r="C63" t="inlineStr">
        <is>
          <t>Customer 019</t>
        </is>
      </c>
      <c r="D63" t="inlineStr">
        <is>
          <t>North</t>
        </is>
      </c>
      <c r="E63" t="inlineStr">
        <is>
          <t>Laptop</t>
        </is>
      </c>
      <c r="F63" t="n">
        <v>4</v>
      </c>
      <c r="G63" s="29" t="n">
        <v>65455.43</v>
      </c>
      <c r="H63" s="11" t="n">
        <v>0.02</v>
      </c>
      <c r="I63" s="29">
        <f>F63*G63</f>
        <v/>
      </c>
      <c r="J63" s="29" t="n">
        <v>213871.69</v>
      </c>
      <c r="K63" s="29">
        <f>I63*(1-H63)-J63</f>
        <v/>
      </c>
      <c r="L63" s="30">
        <f>NOW()</f>
        <v/>
      </c>
    </row>
    <row r="64">
      <c r="A64" t="n">
        <v>63</v>
      </c>
      <c r="B64" s="28" t="n">
        <v>46130</v>
      </c>
      <c r="C64" t="inlineStr">
        <is>
          <t>Customer 024</t>
        </is>
      </c>
      <c r="D64" t="inlineStr">
        <is>
          <t>West</t>
        </is>
      </c>
      <c r="E64" t="inlineStr">
        <is>
          <t>Phone</t>
        </is>
      </c>
      <c r="F64" t="n">
        <v>5</v>
      </c>
      <c r="G64" s="29" t="n">
        <v>28128.97</v>
      </c>
      <c r="H64" s="11" t="n">
        <v>0.12</v>
      </c>
      <c r="I64" s="29">
        <f>F64*G64</f>
        <v/>
      </c>
      <c r="J64" s="29" t="n">
        <v>95528.81</v>
      </c>
      <c r="K64" s="29">
        <f>I64*(1-H64)-J64</f>
        <v/>
      </c>
      <c r="L64" s="30">
        <f>NOW()</f>
        <v/>
      </c>
    </row>
    <row r="65">
      <c r="A65" t="n">
        <v>64</v>
      </c>
      <c r="B65" s="28" t="n">
        <v>46105</v>
      </c>
      <c r="C65" t="inlineStr">
        <is>
          <t>Customer 008</t>
        </is>
      </c>
      <c r="D65" t="inlineStr">
        <is>
          <t>East</t>
        </is>
      </c>
      <c r="E65" t="inlineStr">
        <is>
          <t>Monitor</t>
        </is>
      </c>
      <c r="F65" t="n">
        <v>6</v>
      </c>
      <c r="G65" s="29" t="n">
        <v>13900.76</v>
      </c>
      <c r="H65" s="11" t="n">
        <v>0.1</v>
      </c>
      <c r="I65" s="29">
        <f>F65*G65</f>
        <v/>
      </c>
      <c r="J65" s="29" t="n">
        <v>64244.53</v>
      </c>
      <c r="K65" s="29">
        <f>I65*(1-H65)-J65</f>
        <v/>
      </c>
      <c r="L65" s="30">
        <f>NOW()</f>
        <v/>
      </c>
    </row>
    <row r="66">
      <c r="A66" t="n">
        <v>65</v>
      </c>
      <c r="B66" s="28" t="n">
        <v>46131</v>
      </c>
      <c r="C66" t="inlineStr">
        <is>
          <t>Customer 009</t>
        </is>
      </c>
      <c r="D66" t="inlineStr">
        <is>
          <t>North</t>
        </is>
      </c>
      <c r="E66" t="inlineStr">
        <is>
          <t>Headphones</t>
        </is>
      </c>
      <c r="F66" t="n">
        <v>7</v>
      </c>
      <c r="G66" s="29" t="n">
        <v>3414.63</v>
      </c>
      <c r="H66" s="11" t="n">
        <v>0.1</v>
      </c>
      <c r="I66" s="29">
        <f>F66*G66</f>
        <v/>
      </c>
      <c r="J66" s="29" t="n">
        <v>17100.74</v>
      </c>
      <c r="K66" s="29">
        <f>I66*(1-H66)-J66</f>
        <v/>
      </c>
      <c r="L66" s="30">
        <f>NOW()</f>
        <v/>
      </c>
    </row>
    <row r="67">
      <c r="A67" t="n">
        <v>66</v>
      </c>
      <c r="B67" s="28" t="n">
        <v>46043</v>
      </c>
      <c r="C67" t="inlineStr">
        <is>
          <t>Customer 018</t>
        </is>
      </c>
      <c r="D67" t="inlineStr">
        <is>
          <t>East</t>
        </is>
      </c>
      <c r="E67" t="inlineStr">
        <is>
          <t>Phone</t>
        </is>
      </c>
      <c r="F67" t="n">
        <v>1</v>
      </c>
      <c r="G67" s="29" t="n">
        <v>29619.38</v>
      </c>
      <c r="H67" s="11" t="n">
        <v>0.08</v>
      </c>
      <c r="I67" s="29">
        <f>F67*G67</f>
        <v/>
      </c>
      <c r="J67" s="29" t="n">
        <v>21838.02</v>
      </c>
      <c r="K67" s="29">
        <f>I67*(1-H67)-J67</f>
        <v/>
      </c>
      <c r="L67" s="30">
        <f>NOW()</f>
        <v/>
      </c>
    </row>
    <row r="68">
      <c r="A68" t="n">
        <v>67</v>
      </c>
      <c r="B68" s="28" t="n">
        <v>46177</v>
      </c>
      <c r="C68" t="inlineStr">
        <is>
          <t>Customer 024</t>
        </is>
      </c>
      <c r="D68" t="inlineStr">
        <is>
          <t>North</t>
        </is>
      </c>
      <c r="E68" t="inlineStr">
        <is>
          <t>Phone</t>
        </is>
      </c>
      <c r="F68" t="n">
        <v>2</v>
      </c>
      <c r="G68" s="29" t="n">
        <v>27310.49</v>
      </c>
      <c r="H68" s="11" t="n">
        <v>0.1</v>
      </c>
      <c r="I68" s="29">
        <f>F68*G68</f>
        <v/>
      </c>
      <c r="J68" s="29" t="n">
        <v>34222.76</v>
      </c>
      <c r="K68" s="29">
        <f>I68*(1-H68)-J68</f>
        <v/>
      </c>
      <c r="L68" s="30">
        <f>NOW()</f>
        <v/>
      </c>
    </row>
    <row r="69">
      <c r="A69" t="n">
        <v>68</v>
      </c>
      <c r="B69" s="28" t="n">
        <v>46174</v>
      </c>
      <c r="C69" t="inlineStr">
        <is>
          <t>Customer 019</t>
        </is>
      </c>
      <c r="D69" t="inlineStr">
        <is>
          <t>East</t>
        </is>
      </c>
      <c r="E69" t="inlineStr">
        <is>
          <t>Phone</t>
        </is>
      </c>
      <c r="F69" t="n">
        <v>4</v>
      </c>
      <c r="G69" s="29" t="n">
        <v>26472.71</v>
      </c>
      <c r="H69" s="11" t="n">
        <v>0.15</v>
      </c>
      <c r="I69" s="29">
        <f>F69*G69</f>
        <v/>
      </c>
      <c r="J69" s="29" t="n">
        <v>77370.96000000001</v>
      </c>
      <c r="K69" s="29">
        <f>I69*(1-H69)-J69</f>
        <v/>
      </c>
      <c r="L69" s="30">
        <f>NOW()</f>
        <v/>
      </c>
    </row>
    <row r="70">
      <c r="A70" t="n">
        <v>69</v>
      </c>
      <c r="B70" s="28" t="n">
        <v>46270</v>
      </c>
      <c r="C70" t="inlineStr">
        <is>
          <t>Customer 022</t>
        </is>
      </c>
      <c r="D70" t="inlineStr">
        <is>
          <t>West</t>
        </is>
      </c>
      <c r="E70" t="inlineStr">
        <is>
          <t>Laptop</t>
        </is>
      </c>
      <c r="F70" t="n">
        <v>3</v>
      </c>
      <c r="G70" s="29" t="n">
        <v>64996.76</v>
      </c>
      <c r="H70" s="11" t="n">
        <v>0.05</v>
      </c>
      <c r="I70" s="29">
        <f>F70*G70</f>
        <v/>
      </c>
      <c r="J70" s="29" t="n">
        <v>140386.54</v>
      </c>
      <c r="K70" s="29">
        <f>I70*(1-H70)-J70</f>
        <v/>
      </c>
      <c r="L70" s="30">
        <f>NOW()</f>
        <v/>
      </c>
    </row>
    <row r="71">
      <c r="A71" t="n">
        <v>70</v>
      </c>
      <c r="B71" s="28" t="n">
        <v>46259</v>
      </c>
      <c r="C71" t="inlineStr">
        <is>
          <t>Customer 012</t>
        </is>
      </c>
      <c r="D71" t="inlineStr">
        <is>
          <t>East</t>
        </is>
      </c>
      <c r="E71" t="inlineStr">
        <is>
          <t>Monitor</t>
        </is>
      </c>
      <c r="F71" t="n">
        <v>6</v>
      </c>
      <c r="G71" s="29" t="n">
        <v>13854.23</v>
      </c>
      <c r="H71" s="11" t="n">
        <v>0.15</v>
      </c>
      <c r="I71" s="29">
        <f>F71*G71</f>
        <v/>
      </c>
      <c r="J71" s="29" t="n">
        <v>63059.49</v>
      </c>
      <c r="K71" s="29">
        <f>I71*(1-H71)-J71</f>
        <v/>
      </c>
      <c r="L71" s="30">
        <f>NOW()</f>
        <v/>
      </c>
    </row>
    <row r="72">
      <c r="A72" t="n">
        <v>71</v>
      </c>
      <c r="B72" s="28" t="n">
        <v>46154</v>
      </c>
      <c r="C72" t="inlineStr">
        <is>
          <t>Customer 025</t>
        </is>
      </c>
      <c r="D72" t="inlineStr">
        <is>
          <t>West</t>
        </is>
      </c>
      <c r="E72" t="inlineStr">
        <is>
          <t>Tablet</t>
        </is>
      </c>
      <c r="F72" t="n">
        <v>6</v>
      </c>
      <c r="G72" s="29" t="n">
        <v>20901.73</v>
      </c>
      <c r="H72" s="11" t="n">
        <v>0.1</v>
      </c>
      <c r="I72" s="29">
        <f>F72*G72</f>
        <v/>
      </c>
      <c r="J72" s="29" t="n">
        <v>97642.5</v>
      </c>
      <c r="K72" s="29">
        <f>I72*(1-H72)-J72</f>
        <v/>
      </c>
      <c r="L72" s="30">
        <f>NOW()</f>
        <v/>
      </c>
    </row>
    <row r="73">
      <c r="A73" t="n">
        <v>72</v>
      </c>
      <c r="B73" s="28" t="n">
        <v>46124</v>
      </c>
      <c r="C73" t="inlineStr">
        <is>
          <t>Customer 020</t>
        </is>
      </c>
      <c r="D73" t="inlineStr">
        <is>
          <t>South</t>
        </is>
      </c>
      <c r="E73" t="inlineStr">
        <is>
          <t>Laptop</t>
        </is>
      </c>
      <c r="F73" t="n">
        <v>6</v>
      </c>
      <c r="G73" s="29" t="n">
        <v>57695.72</v>
      </c>
      <c r="H73" s="11" t="n">
        <v>0.15</v>
      </c>
      <c r="I73" s="29">
        <f>F73*G73</f>
        <v/>
      </c>
      <c r="J73" s="29" t="n">
        <v>223620.6</v>
      </c>
      <c r="K73" s="29">
        <f>I73*(1-H73)-J73</f>
        <v/>
      </c>
      <c r="L73" s="30">
        <f>NOW()</f>
        <v/>
      </c>
    </row>
    <row r="74">
      <c r="A74" t="n">
        <v>73</v>
      </c>
      <c r="B74" s="28" t="n">
        <v>46158</v>
      </c>
      <c r="C74" t="inlineStr">
        <is>
          <t>Customer 004</t>
        </is>
      </c>
      <c r="D74" t="inlineStr">
        <is>
          <t>South</t>
        </is>
      </c>
      <c r="E74" t="inlineStr">
        <is>
          <t>Phone</t>
        </is>
      </c>
      <c r="F74" t="n">
        <v>5</v>
      </c>
      <c r="G74" s="29" t="n">
        <v>26358.99</v>
      </c>
      <c r="H74" s="11" t="n">
        <v>0.1</v>
      </c>
      <c r="I74" s="29">
        <f>F74*G74</f>
        <v/>
      </c>
      <c r="J74" s="29" t="n">
        <v>102040.48</v>
      </c>
      <c r="K74" s="29">
        <f>I74*(1-H74)-J74</f>
        <v/>
      </c>
      <c r="L74" s="30">
        <f>NOW()</f>
        <v/>
      </c>
    </row>
    <row r="75">
      <c r="A75" t="n">
        <v>74</v>
      </c>
      <c r="B75" s="28" t="n">
        <v>46276</v>
      </c>
      <c r="C75" t="inlineStr">
        <is>
          <t>Customer 007</t>
        </is>
      </c>
      <c r="D75" t="inlineStr">
        <is>
          <t>West</t>
        </is>
      </c>
      <c r="E75" t="inlineStr">
        <is>
          <t>Tablet</t>
        </is>
      </c>
      <c r="F75" t="n">
        <v>6</v>
      </c>
      <c r="G75" s="29" t="n">
        <v>22099.39</v>
      </c>
      <c r="H75" s="11" t="n">
        <v>0.02</v>
      </c>
      <c r="I75" s="29">
        <f>F75*G75</f>
        <v/>
      </c>
      <c r="J75" s="29" t="n">
        <v>87334.75</v>
      </c>
      <c r="K75" s="29">
        <f>I75*(1-H75)-J75</f>
        <v/>
      </c>
      <c r="L75" s="30">
        <f>NOW()</f>
        <v/>
      </c>
    </row>
    <row r="76">
      <c r="A76" t="n">
        <v>75</v>
      </c>
      <c r="B76" s="28" t="n">
        <v>46095</v>
      </c>
      <c r="C76" t="inlineStr">
        <is>
          <t>Customer 010</t>
        </is>
      </c>
      <c r="D76" t="inlineStr">
        <is>
          <t>West</t>
        </is>
      </c>
      <c r="E76" t="inlineStr">
        <is>
          <t>Tablet</t>
        </is>
      </c>
      <c r="F76" t="n">
        <v>6</v>
      </c>
      <c r="G76" s="29" t="n">
        <v>23429.55</v>
      </c>
      <c r="H76" s="11" t="n">
        <v>0.02</v>
      </c>
      <c r="I76" s="29">
        <f>F76*G76</f>
        <v/>
      </c>
      <c r="J76" s="29" t="n">
        <v>90622.98</v>
      </c>
      <c r="K76" s="29">
        <f>I76*(1-H76)-J76</f>
        <v/>
      </c>
      <c r="L76" s="30">
        <f>NOW()</f>
        <v/>
      </c>
    </row>
    <row r="77">
      <c r="A77" t="n">
        <v>76</v>
      </c>
      <c r="B77" s="28" t="n">
        <v>46284</v>
      </c>
      <c r="C77" t="inlineStr">
        <is>
          <t>Customer 001</t>
        </is>
      </c>
      <c r="D77" t="inlineStr">
        <is>
          <t>North</t>
        </is>
      </c>
      <c r="E77" t="inlineStr">
        <is>
          <t>Monitor</t>
        </is>
      </c>
      <c r="F77" t="n">
        <v>6</v>
      </c>
      <c r="G77" s="29" t="n">
        <v>13842.51</v>
      </c>
      <c r="H77" s="11" t="n">
        <v>0.12</v>
      </c>
      <c r="I77" s="29">
        <f>F77*G77</f>
        <v/>
      </c>
      <c r="J77" s="29" t="n">
        <v>60423</v>
      </c>
      <c r="K77" s="29">
        <f>I77*(1-H77)-J77</f>
        <v/>
      </c>
      <c r="L77" s="30">
        <f>NOW()</f>
        <v/>
      </c>
    </row>
    <row r="78">
      <c r="A78" t="n">
        <v>77</v>
      </c>
      <c r="B78" s="28" t="n">
        <v>46303</v>
      </c>
      <c r="C78" t="inlineStr">
        <is>
          <t>Customer 012</t>
        </is>
      </c>
      <c r="D78" t="inlineStr">
        <is>
          <t>East</t>
        </is>
      </c>
      <c r="E78" t="inlineStr">
        <is>
          <t>Laptop</t>
        </is>
      </c>
      <c r="F78" t="n">
        <v>6</v>
      </c>
      <c r="G78" s="29" t="n">
        <v>65413.06</v>
      </c>
      <c r="H78" s="11" t="n">
        <v>0.05</v>
      </c>
      <c r="I78" s="29">
        <f>F78*G78</f>
        <v/>
      </c>
      <c r="J78" s="29" t="n">
        <v>270525.7</v>
      </c>
      <c r="K78" s="29">
        <f>I78*(1-H78)-J78</f>
        <v/>
      </c>
      <c r="L78" s="30">
        <f>NOW()</f>
        <v/>
      </c>
    </row>
    <row r="79">
      <c r="A79" t="n">
        <v>78</v>
      </c>
      <c r="B79" s="28" t="n">
        <v>46250</v>
      </c>
      <c r="C79" t="inlineStr">
        <is>
          <t>Customer 021</t>
        </is>
      </c>
      <c r="D79" t="inlineStr">
        <is>
          <t>East</t>
        </is>
      </c>
      <c r="E79" t="inlineStr">
        <is>
          <t>Monitor</t>
        </is>
      </c>
      <c r="F79" t="n">
        <v>5</v>
      </c>
      <c r="G79" s="29" t="n">
        <v>13225.81</v>
      </c>
      <c r="H79" s="11" t="n">
        <v>0.05</v>
      </c>
      <c r="I79" s="29">
        <f>F79*G79</f>
        <v/>
      </c>
      <c r="J79" s="29" t="n">
        <v>41262.89</v>
      </c>
      <c r="K79" s="29">
        <f>I79*(1-H79)-J79</f>
        <v/>
      </c>
      <c r="L79" s="30">
        <f>NOW()</f>
        <v/>
      </c>
    </row>
    <row r="80">
      <c r="A80" t="n">
        <v>79</v>
      </c>
      <c r="B80" s="28" t="n">
        <v>46255</v>
      </c>
      <c r="C80" t="inlineStr">
        <is>
          <t>Customer 027</t>
        </is>
      </c>
      <c r="D80" t="inlineStr">
        <is>
          <t>North</t>
        </is>
      </c>
      <c r="E80" t="inlineStr">
        <is>
          <t>Monitor</t>
        </is>
      </c>
      <c r="F80" t="n">
        <v>5</v>
      </c>
      <c r="G80" s="29" t="n">
        <v>14697.6</v>
      </c>
      <c r="H80" s="11" t="n">
        <v>0.08</v>
      </c>
      <c r="I80" s="29">
        <f>F80*G80</f>
        <v/>
      </c>
      <c r="J80" s="29" t="n">
        <v>52766.01</v>
      </c>
      <c r="K80" s="29">
        <f>I80*(1-H80)-J80</f>
        <v/>
      </c>
      <c r="L80" s="30">
        <f>NOW()</f>
        <v/>
      </c>
    </row>
    <row r="81">
      <c r="A81" t="n">
        <v>80</v>
      </c>
      <c r="B81" s="28" t="n">
        <v>46107</v>
      </c>
      <c r="C81" t="inlineStr">
        <is>
          <t>Customer 001</t>
        </is>
      </c>
      <c r="D81" t="inlineStr">
        <is>
          <t>South</t>
        </is>
      </c>
      <c r="E81" t="inlineStr">
        <is>
          <t>Tablet</t>
        </is>
      </c>
      <c r="F81" t="n">
        <v>6</v>
      </c>
      <c r="G81" s="29" t="n">
        <v>21244.74</v>
      </c>
      <c r="H81" s="11" t="n">
        <v>0.05</v>
      </c>
      <c r="I81" s="29">
        <f>F81*G81</f>
        <v/>
      </c>
      <c r="J81" s="29" t="n">
        <v>103620.51</v>
      </c>
      <c r="K81" s="29">
        <f>I81*(1-H81)-J81</f>
        <v/>
      </c>
      <c r="L81" s="30">
        <f>NOW()</f>
        <v/>
      </c>
    </row>
    <row r="82">
      <c r="A82" t="n">
        <v>81</v>
      </c>
      <c r="B82" s="28" t="n">
        <v>46256</v>
      </c>
      <c r="C82" t="inlineStr">
        <is>
          <t>Customer 006</t>
        </is>
      </c>
      <c r="D82" t="inlineStr">
        <is>
          <t>North</t>
        </is>
      </c>
      <c r="E82" t="inlineStr">
        <is>
          <t>Phone</t>
        </is>
      </c>
      <c r="F82" t="n">
        <v>1</v>
      </c>
      <c r="G82" s="29" t="n">
        <v>28695.39</v>
      </c>
      <c r="H82" s="11" t="n">
        <v>0.05</v>
      </c>
      <c r="I82" s="29">
        <f>F82*G82</f>
        <v/>
      </c>
      <c r="J82" s="29" t="n">
        <v>19059.57</v>
      </c>
      <c r="K82" s="29">
        <f>I82*(1-H82)-J82</f>
        <v/>
      </c>
      <c r="L82" s="30">
        <f>NOW()</f>
        <v/>
      </c>
    </row>
    <row r="83">
      <c r="A83" t="n">
        <v>82</v>
      </c>
      <c r="B83" s="28" t="n">
        <v>46080</v>
      </c>
      <c r="C83" t="inlineStr">
        <is>
          <t>Customer 006</t>
        </is>
      </c>
      <c r="D83" t="inlineStr">
        <is>
          <t>West</t>
        </is>
      </c>
      <c r="E83" t="inlineStr">
        <is>
          <t>Headphones</t>
        </is>
      </c>
      <c r="F83" t="n">
        <v>1</v>
      </c>
      <c r="G83" s="29" t="n">
        <v>3682.61</v>
      </c>
      <c r="H83" s="11" t="n">
        <v>0.05</v>
      </c>
      <c r="I83" s="29">
        <f>F83*G83</f>
        <v/>
      </c>
      <c r="J83" s="29" t="n">
        <v>2799.1</v>
      </c>
      <c r="K83" s="29">
        <f>I83*(1-H83)-J83</f>
        <v/>
      </c>
      <c r="L83" s="30">
        <f>NOW()</f>
        <v/>
      </c>
    </row>
    <row r="84">
      <c r="A84" t="n">
        <v>83</v>
      </c>
      <c r="B84" s="28" t="n">
        <v>46129</v>
      </c>
      <c r="C84" t="inlineStr">
        <is>
          <t>Customer 018</t>
        </is>
      </c>
      <c r="D84" t="inlineStr">
        <is>
          <t>West</t>
        </is>
      </c>
      <c r="E84" t="inlineStr">
        <is>
          <t>Laptop</t>
        </is>
      </c>
      <c r="F84" t="n">
        <v>7</v>
      </c>
      <c r="G84" s="29" t="n">
        <v>56910.47</v>
      </c>
      <c r="H84" s="11" t="n">
        <v>0.12</v>
      </c>
      <c r="I84" s="29">
        <f>F84*G84</f>
        <v/>
      </c>
      <c r="J84" s="29" t="n">
        <v>292248.66</v>
      </c>
      <c r="K84" s="29">
        <f>I84*(1-H84)-J84</f>
        <v/>
      </c>
      <c r="L84" s="30">
        <f>NOW()</f>
        <v/>
      </c>
    </row>
    <row r="85">
      <c r="A85" t="n">
        <v>84</v>
      </c>
      <c r="B85" s="28" t="n">
        <v>46148</v>
      </c>
      <c r="C85" t="inlineStr">
        <is>
          <t>Customer 007</t>
        </is>
      </c>
      <c r="D85" t="inlineStr">
        <is>
          <t>East</t>
        </is>
      </c>
      <c r="E85" t="inlineStr">
        <is>
          <t>Monitor</t>
        </is>
      </c>
      <c r="F85" t="n">
        <v>7</v>
      </c>
      <c r="G85" s="29" t="n">
        <v>14890.67</v>
      </c>
      <c r="H85" s="11" t="n">
        <v>0.12</v>
      </c>
      <c r="I85" s="29">
        <f>F85*G85</f>
        <v/>
      </c>
      <c r="J85" s="29" t="n">
        <v>79186.49000000001</v>
      </c>
      <c r="K85" s="29">
        <f>I85*(1-H85)-J85</f>
        <v/>
      </c>
      <c r="L85" s="30">
        <f>NOW()</f>
        <v/>
      </c>
    </row>
    <row r="86">
      <c r="A86" t="n">
        <v>85</v>
      </c>
      <c r="B86" s="28" t="n">
        <v>46027</v>
      </c>
      <c r="C86" t="inlineStr">
        <is>
          <t>Customer 013</t>
        </is>
      </c>
      <c r="D86" t="inlineStr">
        <is>
          <t>South</t>
        </is>
      </c>
      <c r="E86" t="inlineStr">
        <is>
          <t>Tablet</t>
        </is>
      </c>
      <c r="F86" t="n">
        <v>7</v>
      </c>
      <c r="G86" s="29" t="n">
        <v>23819.06</v>
      </c>
      <c r="H86" s="11" t="n">
        <v>0.08</v>
      </c>
      <c r="I86" s="29">
        <f>F86*G86</f>
        <v/>
      </c>
      <c r="J86" s="29" t="n">
        <v>132869.52</v>
      </c>
      <c r="K86" s="29">
        <f>I86*(1-H86)-J86</f>
        <v/>
      </c>
      <c r="L86" s="30">
        <f>NOW()</f>
        <v/>
      </c>
    </row>
    <row r="87">
      <c r="A87" t="n">
        <v>86</v>
      </c>
      <c r="B87" s="28" t="n">
        <v>46236</v>
      </c>
      <c r="C87" t="inlineStr">
        <is>
          <t>Customer 002</t>
        </is>
      </c>
      <c r="D87" t="inlineStr">
        <is>
          <t>East</t>
        </is>
      </c>
      <c r="E87" t="inlineStr">
        <is>
          <t>Laptop</t>
        </is>
      </c>
      <c r="F87" t="n">
        <v>4</v>
      </c>
      <c r="G87" s="29" t="n">
        <v>63255.71</v>
      </c>
      <c r="H87" s="11" t="n">
        <v>0.12</v>
      </c>
      <c r="I87" s="29">
        <f>F87*G87</f>
        <v/>
      </c>
      <c r="J87" s="29" t="n">
        <v>181273.53</v>
      </c>
      <c r="K87" s="29">
        <f>I87*(1-H87)-J87</f>
        <v/>
      </c>
      <c r="L87" s="30">
        <f>NOW()</f>
        <v/>
      </c>
    </row>
    <row r="88">
      <c r="A88" t="n">
        <v>87</v>
      </c>
      <c r="B88" s="28" t="n">
        <v>46042</v>
      </c>
      <c r="C88" t="inlineStr">
        <is>
          <t>Customer 030</t>
        </is>
      </c>
      <c r="D88" t="inlineStr">
        <is>
          <t>West</t>
        </is>
      </c>
      <c r="E88" t="inlineStr">
        <is>
          <t>Tablet</t>
        </is>
      </c>
      <c r="F88" t="n">
        <v>7</v>
      </c>
      <c r="G88" s="29" t="n">
        <v>21875.73</v>
      </c>
      <c r="H88" s="11" t="n">
        <v>0.08</v>
      </c>
      <c r="I88" s="29">
        <f>F88*G88</f>
        <v/>
      </c>
      <c r="J88" s="29" t="n">
        <v>111191.8</v>
      </c>
      <c r="K88" s="29">
        <f>I88*(1-H88)-J88</f>
        <v/>
      </c>
      <c r="L88" s="30">
        <f>NOW()</f>
        <v/>
      </c>
    </row>
    <row r="89">
      <c r="A89" t="n">
        <v>88</v>
      </c>
      <c r="B89" s="28" t="n">
        <v>46106</v>
      </c>
      <c r="C89" t="inlineStr">
        <is>
          <t>Customer 010</t>
        </is>
      </c>
      <c r="D89" t="inlineStr">
        <is>
          <t>South</t>
        </is>
      </c>
      <c r="E89" t="inlineStr">
        <is>
          <t>Tablet</t>
        </is>
      </c>
      <c r="F89" t="n">
        <v>6</v>
      </c>
      <c r="G89" s="29" t="n">
        <v>21960.31</v>
      </c>
      <c r="H89" s="11" t="n">
        <v>0.08</v>
      </c>
      <c r="I89" s="29">
        <f>F89*G89</f>
        <v/>
      </c>
      <c r="J89" s="29" t="n">
        <v>91951.67999999999</v>
      </c>
      <c r="K89" s="29">
        <f>I89*(1-H89)-J89</f>
        <v/>
      </c>
      <c r="L89" s="30">
        <f>NOW()</f>
        <v/>
      </c>
    </row>
    <row r="90">
      <c r="A90" t="n">
        <v>89</v>
      </c>
      <c r="B90" s="28" t="n">
        <v>46173</v>
      </c>
      <c r="C90" t="inlineStr">
        <is>
          <t>Customer 002</t>
        </is>
      </c>
      <c r="D90" t="inlineStr">
        <is>
          <t>West</t>
        </is>
      </c>
      <c r="E90" t="inlineStr">
        <is>
          <t>Tablet</t>
        </is>
      </c>
      <c r="F90" t="n">
        <v>5</v>
      </c>
      <c r="G90" s="29" t="n">
        <v>20197.94</v>
      </c>
      <c r="H90" s="11" t="n">
        <v>0.08</v>
      </c>
      <c r="I90" s="29">
        <f>F90*G90</f>
        <v/>
      </c>
      <c r="J90" s="29" t="n">
        <v>79188.25</v>
      </c>
      <c r="K90" s="29">
        <f>I90*(1-H90)-J90</f>
        <v/>
      </c>
      <c r="L90" s="30">
        <f>NOW()</f>
        <v/>
      </c>
    </row>
    <row r="91">
      <c r="A91" t="n">
        <v>90</v>
      </c>
      <c r="B91" s="28" t="n">
        <v>46093</v>
      </c>
      <c r="C91" t="inlineStr">
        <is>
          <t>Customer 025</t>
        </is>
      </c>
      <c r="D91" t="inlineStr">
        <is>
          <t>North</t>
        </is>
      </c>
      <c r="E91" t="inlineStr">
        <is>
          <t>Tablet</t>
        </is>
      </c>
      <c r="F91" t="n">
        <v>3</v>
      </c>
      <c r="G91" s="29" t="n">
        <v>21518.06</v>
      </c>
      <c r="H91" s="11" t="n">
        <v>0.08</v>
      </c>
      <c r="I91" s="29">
        <f>F91*G91</f>
        <v/>
      </c>
      <c r="J91" s="29" t="n">
        <v>48569.39</v>
      </c>
      <c r="K91" s="29">
        <f>I91*(1-H91)-J91</f>
        <v/>
      </c>
      <c r="L91" s="30">
        <f>NOW()</f>
        <v/>
      </c>
    </row>
    <row r="92">
      <c r="A92" t="n">
        <v>91</v>
      </c>
      <c r="B92" s="28" t="n">
        <v>46249</v>
      </c>
      <c r="C92" t="inlineStr">
        <is>
          <t>Customer 030</t>
        </is>
      </c>
      <c r="D92" t="inlineStr">
        <is>
          <t>North</t>
        </is>
      </c>
      <c r="E92" t="inlineStr">
        <is>
          <t>Laptop</t>
        </is>
      </c>
      <c r="F92" t="n">
        <v>3</v>
      </c>
      <c r="G92" s="29" t="n">
        <v>62948.92</v>
      </c>
      <c r="H92" s="11" t="n">
        <v>0.1</v>
      </c>
      <c r="I92" s="29">
        <f>F92*G92</f>
        <v/>
      </c>
      <c r="J92" s="29" t="n">
        <v>136447.79</v>
      </c>
      <c r="K92" s="29">
        <f>I92*(1-H92)-J92</f>
        <v/>
      </c>
      <c r="L92" s="30">
        <f>NOW()</f>
        <v/>
      </c>
    </row>
    <row r="93">
      <c r="A93" t="n">
        <v>92</v>
      </c>
      <c r="B93" s="28" t="n">
        <v>46077</v>
      </c>
      <c r="C93" t="inlineStr">
        <is>
          <t>Customer 021</t>
        </is>
      </c>
      <c r="D93" t="inlineStr">
        <is>
          <t>East</t>
        </is>
      </c>
      <c r="E93" t="inlineStr">
        <is>
          <t>Phone</t>
        </is>
      </c>
      <c r="F93" t="n">
        <v>5</v>
      </c>
      <c r="G93" s="29" t="n">
        <v>30145.9</v>
      </c>
      <c r="H93" s="11" t="n">
        <v>0.15</v>
      </c>
      <c r="I93" s="29">
        <f>F93*G93</f>
        <v/>
      </c>
      <c r="J93" s="29" t="n">
        <v>99432.22</v>
      </c>
      <c r="K93" s="29">
        <f>I93*(1-H93)-J93</f>
        <v/>
      </c>
      <c r="L93" s="30">
        <f>NOW()</f>
        <v/>
      </c>
    </row>
    <row r="94">
      <c r="A94" t="n">
        <v>93</v>
      </c>
      <c r="B94" s="28" t="n">
        <v>46276</v>
      </c>
      <c r="C94" t="inlineStr">
        <is>
          <t>Customer 021</t>
        </is>
      </c>
      <c r="D94" t="inlineStr">
        <is>
          <t>South</t>
        </is>
      </c>
      <c r="E94" t="inlineStr">
        <is>
          <t>Monitor</t>
        </is>
      </c>
      <c r="F94" t="n">
        <v>3</v>
      </c>
      <c r="G94" s="29" t="n">
        <v>13817.68</v>
      </c>
      <c r="H94" s="11" t="n">
        <v>0.02</v>
      </c>
      <c r="I94" s="29">
        <f>F94*G94</f>
        <v/>
      </c>
      <c r="J94" s="29" t="n">
        <v>29228.66</v>
      </c>
      <c r="K94" s="29">
        <f>I94*(1-H94)-J94</f>
        <v/>
      </c>
      <c r="L94" s="30">
        <f>NOW()</f>
        <v/>
      </c>
    </row>
    <row r="95">
      <c r="A95" t="n">
        <v>94</v>
      </c>
      <c r="B95" s="28" t="n">
        <v>46125</v>
      </c>
      <c r="C95" t="inlineStr">
        <is>
          <t>Customer 006</t>
        </is>
      </c>
      <c r="D95" t="inlineStr">
        <is>
          <t>West</t>
        </is>
      </c>
      <c r="E95" t="inlineStr">
        <is>
          <t>Phone</t>
        </is>
      </c>
      <c r="F95" t="n">
        <v>2</v>
      </c>
      <c r="G95" s="29" t="n">
        <v>26126.1</v>
      </c>
      <c r="H95" s="11" t="n">
        <v>0.08</v>
      </c>
      <c r="I95" s="29">
        <f>F95*G95</f>
        <v/>
      </c>
      <c r="J95" s="29" t="n">
        <v>32533.67</v>
      </c>
      <c r="K95" s="29">
        <f>I95*(1-H95)-J95</f>
        <v/>
      </c>
      <c r="L95" s="30">
        <f>NOW()</f>
        <v/>
      </c>
    </row>
    <row r="96">
      <c r="A96" t="n">
        <v>95</v>
      </c>
      <c r="B96" s="28" t="n">
        <v>46141</v>
      </c>
      <c r="C96" t="inlineStr">
        <is>
          <t>Customer 028</t>
        </is>
      </c>
      <c r="D96" t="inlineStr">
        <is>
          <t>East</t>
        </is>
      </c>
      <c r="E96" t="inlineStr">
        <is>
          <t>Phone</t>
        </is>
      </c>
      <c r="F96" t="n">
        <v>6</v>
      </c>
      <c r="G96" s="29" t="n">
        <v>27186.02</v>
      </c>
      <c r="H96" s="11" t="n">
        <v>0.1</v>
      </c>
      <c r="I96" s="29">
        <f>F96*G96</f>
        <v/>
      </c>
      <c r="J96" s="29" t="n">
        <v>107323.99</v>
      </c>
      <c r="K96" s="29">
        <f>I96*(1-H96)-J96</f>
        <v/>
      </c>
      <c r="L96" s="30">
        <f>NOW()</f>
        <v/>
      </c>
    </row>
    <row r="97">
      <c r="A97" t="n">
        <v>96</v>
      </c>
      <c r="B97" s="28" t="n">
        <v>46115</v>
      </c>
      <c r="C97" t="inlineStr">
        <is>
          <t>Customer 023</t>
        </is>
      </c>
      <c r="D97" t="inlineStr">
        <is>
          <t>South</t>
        </is>
      </c>
      <c r="E97" t="inlineStr">
        <is>
          <t>Headphones</t>
        </is>
      </c>
      <c r="F97" t="n">
        <v>2</v>
      </c>
      <c r="G97" s="29" t="n">
        <v>3379.96</v>
      </c>
      <c r="H97" s="11" t="n">
        <v>0.15</v>
      </c>
      <c r="I97" s="29">
        <f>F97*G97</f>
        <v/>
      </c>
      <c r="J97" s="29" t="n">
        <v>4388.27</v>
      </c>
      <c r="K97" s="29">
        <f>I97*(1-H97)-J97</f>
        <v/>
      </c>
      <c r="L97" s="30">
        <f>NOW()</f>
        <v/>
      </c>
    </row>
    <row r="98">
      <c r="A98" t="n">
        <v>97</v>
      </c>
      <c r="B98" s="28" t="n">
        <v>46063</v>
      </c>
      <c r="C98" t="inlineStr">
        <is>
          <t>Customer 029</t>
        </is>
      </c>
      <c r="D98" t="inlineStr">
        <is>
          <t>West</t>
        </is>
      </c>
      <c r="E98" t="inlineStr">
        <is>
          <t>Phone</t>
        </is>
      </c>
      <c r="F98" t="n">
        <v>6</v>
      </c>
      <c r="G98" s="29" t="n">
        <v>30781.74</v>
      </c>
      <c r="H98" s="11" t="n">
        <v>0.08</v>
      </c>
      <c r="I98" s="29">
        <f>F98*G98</f>
        <v/>
      </c>
      <c r="J98" s="29" t="n">
        <v>135188.71</v>
      </c>
      <c r="K98" s="29">
        <f>I98*(1-H98)-J98</f>
        <v/>
      </c>
      <c r="L98" s="30">
        <f>NOW()</f>
        <v/>
      </c>
    </row>
    <row r="99">
      <c r="A99" t="n">
        <v>98</v>
      </c>
      <c r="B99" s="28" t="n">
        <v>46108</v>
      </c>
      <c r="C99" t="inlineStr">
        <is>
          <t>Customer 024</t>
        </is>
      </c>
      <c r="D99" t="inlineStr">
        <is>
          <t>East</t>
        </is>
      </c>
      <c r="E99" t="inlineStr">
        <is>
          <t>Laptop</t>
        </is>
      </c>
      <c r="F99" t="n">
        <v>6</v>
      </c>
      <c r="G99" s="29" t="n">
        <v>60934.65</v>
      </c>
      <c r="H99" s="11" t="n">
        <v>0.08</v>
      </c>
      <c r="I99" s="29">
        <f>F99*G99</f>
        <v/>
      </c>
      <c r="J99" s="29" t="n">
        <v>242168.64</v>
      </c>
      <c r="K99" s="29">
        <f>I99*(1-H99)-J99</f>
        <v/>
      </c>
      <c r="L99" s="30">
        <f>NOW()</f>
        <v/>
      </c>
    </row>
    <row r="100">
      <c r="A100" t="n">
        <v>99</v>
      </c>
      <c r="B100" s="28" t="n">
        <v>46141</v>
      </c>
      <c r="C100" t="inlineStr">
        <is>
          <t>Customer 026</t>
        </is>
      </c>
      <c r="D100" t="inlineStr">
        <is>
          <t>West</t>
        </is>
      </c>
      <c r="E100" t="inlineStr">
        <is>
          <t>Laptop</t>
        </is>
      </c>
      <c r="F100" t="n">
        <v>2</v>
      </c>
      <c r="G100" s="29" t="n">
        <v>63880.55</v>
      </c>
      <c r="H100" s="11" t="n">
        <v>0.05</v>
      </c>
      <c r="I100" s="29">
        <f>F100*G100</f>
        <v/>
      </c>
      <c r="J100" s="29" t="n">
        <v>91970.39</v>
      </c>
      <c r="K100" s="29">
        <f>I100*(1-H100)-J100</f>
        <v/>
      </c>
      <c r="L100" s="30">
        <f>NOW()</f>
        <v/>
      </c>
    </row>
    <row r="101">
      <c r="A101" t="n">
        <v>100</v>
      </c>
      <c r="B101" s="28" t="n">
        <v>46286</v>
      </c>
      <c r="C101" t="inlineStr">
        <is>
          <t>Customer 007</t>
        </is>
      </c>
      <c r="D101" t="inlineStr">
        <is>
          <t>North</t>
        </is>
      </c>
      <c r="E101" t="inlineStr">
        <is>
          <t>Headphones</t>
        </is>
      </c>
      <c r="F101" t="n">
        <v>4</v>
      </c>
      <c r="G101" s="29" t="n">
        <v>3614.83</v>
      </c>
      <c r="H101" s="11" t="n">
        <v>0.08</v>
      </c>
      <c r="I101" s="29">
        <f>F101*G101</f>
        <v/>
      </c>
      <c r="J101" s="29" t="n">
        <v>11191.46</v>
      </c>
      <c r="K101" s="29">
        <f>I101*(1-H101)-J101</f>
        <v/>
      </c>
      <c r="L101" s="30">
        <f>NOW()</f>
        <v/>
      </c>
    </row>
    <row r="102">
      <c r="A102" t="n">
        <v>101</v>
      </c>
      <c r="B102" s="28" t="n">
        <v>46288</v>
      </c>
      <c r="C102" t="inlineStr">
        <is>
          <t>Customer 013</t>
        </is>
      </c>
      <c r="D102" t="inlineStr">
        <is>
          <t>West</t>
        </is>
      </c>
      <c r="E102" t="inlineStr">
        <is>
          <t>Phone</t>
        </is>
      </c>
      <c r="F102" t="n">
        <v>6</v>
      </c>
      <c r="G102" s="29" t="n">
        <v>25222.48</v>
      </c>
      <c r="H102" s="11" t="n">
        <v>0.02</v>
      </c>
      <c r="I102" s="29">
        <f>F102*G102</f>
        <v/>
      </c>
      <c r="J102" s="29" t="n">
        <v>98850.35000000001</v>
      </c>
      <c r="K102" s="29">
        <f>I102*(1-H102)-J102</f>
        <v/>
      </c>
      <c r="L102" s="30">
        <f>NOW()</f>
        <v/>
      </c>
    </row>
    <row r="103">
      <c r="A103" t="n">
        <v>102</v>
      </c>
      <c r="B103" s="28" t="n">
        <v>46079</v>
      </c>
      <c r="C103" t="inlineStr">
        <is>
          <t>Customer 025</t>
        </is>
      </c>
      <c r="D103" t="inlineStr">
        <is>
          <t>East</t>
        </is>
      </c>
      <c r="E103" t="inlineStr">
        <is>
          <t>Laptop</t>
        </is>
      </c>
      <c r="F103" t="n">
        <v>1</v>
      </c>
      <c r="G103" s="29" t="n">
        <v>61640.33</v>
      </c>
      <c r="H103" s="11" t="n">
        <v>0.02</v>
      </c>
      <c r="I103" s="29">
        <f>F103*G103</f>
        <v/>
      </c>
      <c r="J103" s="29" t="n">
        <v>40394.26</v>
      </c>
      <c r="K103" s="29">
        <f>I103*(1-H103)-J103</f>
        <v/>
      </c>
      <c r="L103" s="30">
        <f>NOW()</f>
        <v/>
      </c>
    </row>
    <row r="104">
      <c r="A104" t="n">
        <v>103</v>
      </c>
      <c r="B104" s="28" t="n">
        <v>46174</v>
      </c>
      <c r="C104" t="inlineStr">
        <is>
          <t>Customer 021</t>
        </is>
      </c>
      <c r="D104" t="inlineStr">
        <is>
          <t>East</t>
        </is>
      </c>
      <c r="E104" t="inlineStr">
        <is>
          <t>Tablet</t>
        </is>
      </c>
      <c r="F104" t="n">
        <v>4</v>
      </c>
      <c r="G104" s="29" t="n">
        <v>23174.35</v>
      </c>
      <c r="H104" s="11" t="n">
        <v>0.15</v>
      </c>
      <c r="I104" s="29">
        <f>F104*G104</f>
        <v/>
      </c>
      <c r="J104" s="29" t="n">
        <v>67745.44</v>
      </c>
      <c r="K104" s="29">
        <f>I104*(1-H104)-J104</f>
        <v/>
      </c>
      <c r="L104" s="30">
        <f>NOW()</f>
        <v/>
      </c>
    </row>
    <row r="105">
      <c r="A105" t="n">
        <v>104</v>
      </c>
      <c r="B105" s="28" t="n">
        <v>46165</v>
      </c>
      <c r="C105" t="inlineStr">
        <is>
          <t>Customer 012</t>
        </is>
      </c>
      <c r="D105" t="inlineStr">
        <is>
          <t>West</t>
        </is>
      </c>
      <c r="E105" t="inlineStr">
        <is>
          <t>Headphones</t>
        </is>
      </c>
      <c r="F105" t="n">
        <v>7</v>
      </c>
      <c r="G105" s="29" t="n">
        <v>3704.3</v>
      </c>
      <c r="H105" s="11" t="n">
        <v>0.08</v>
      </c>
      <c r="I105" s="29">
        <f>F105*G105</f>
        <v/>
      </c>
      <c r="J105" s="29" t="n">
        <v>18479.21</v>
      </c>
      <c r="K105" s="29">
        <f>I105*(1-H105)-J105</f>
        <v/>
      </c>
      <c r="L105" s="30">
        <f>NOW()</f>
        <v/>
      </c>
    </row>
    <row r="106">
      <c r="A106" t="n">
        <v>105</v>
      </c>
      <c r="B106" s="28" t="n">
        <v>46183</v>
      </c>
      <c r="C106" t="inlineStr">
        <is>
          <t>Customer 029</t>
        </is>
      </c>
      <c r="D106" t="inlineStr">
        <is>
          <t>South</t>
        </is>
      </c>
      <c r="E106" t="inlineStr">
        <is>
          <t>Tablet</t>
        </is>
      </c>
      <c r="F106" t="n">
        <v>2</v>
      </c>
      <c r="G106" s="29" t="n">
        <v>22131.63</v>
      </c>
      <c r="H106" s="11" t="n">
        <v>0.15</v>
      </c>
      <c r="I106" s="29">
        <f>F106*G106</f>
        <v/>
      </c>
      <c r="J106" s="29" t="n">
        <v>35731.43</v>
      </c>
      <c r="K106" s="29">
        <f>I106*(1-H106)-J106</f>
        <v/>
      </c>
      <c r="L106" s="30">
        <f>NOW()</f>
        <v/>
      </c>
    </row>
    <row r="107">
      <c r="A107" t="n">
        <v>106</v>
      </c>
      <c r="B107" s="28" t="n">
        <v>46203</v>
      </c>
      <c r="C107" t="inlineStr">
        <is>
          <t>Customer 007</t>
        </is>
      </c>
      <c r="D107" t="inlineStr">
        <is>
          <t>North</t>
        </is>
      </c>
      <c r="E107" t="inlineStr">
        <is>
          <t>Laptop</t>
        </is>
      </c>
      <c r="F107" t="n">
        <v>3</v>
      </c>
      <c r="G107" s="29" t="n">
        <v>63532.78</v>
      </c>
      <c r="H107" s="11" t="n">
        <v>0.05</v>
      </c>
      <c r="I107" s="29">
        <f>F107*G107</f>
        <v/>
      </c>
      <c r="J107" s="29" t="n">
        <v>118309.41</v>
      </c>
      <c r="K107" s="29">
        <f>I107*(1-H107)-J107</f>
        <v/>
      </c>
      <c r="L107" s="30">
        <f>NOW()</f>
        <v/>
      </c>
    </row>
    <row r="108">
      <c r="A108" t="n">
        <v>107</v>
      </c>
      <c r="B108" s="28" t="n">
        <v>46197</v>
      </c>
      <c r="C108" t="inlineStr">
        <is>
          <t>Customer 002</t>
        </is>
      </c>
      <c r="D108" t="inlineStr">
        <is>
          <t>North</t>
        </is>
      </c>
      <c r="E108" t="inlineStr">
        <is>
          <t>Tablet</t>
        </is>
      </c>
      <c r="F108" t="n">
        <v>6</v>
      </c>
      <c r="G108" s="29" t="n">
        <v>20737.78</v>
      </c>
      <c r="H108" s="11" t="n">
        <v>0.02</v>
      </c>
      <c r="I108" s="29">
        <f>F108*G108</f>
        <v/>
      </c>
      <c r="J108" s="29" t="n">
        <v>78194.50999999999</v>
      </c>
      <c r="K108" s="29">
        <f>I108*(1-H108)-J108</f>
        <v/>
      </c>
      <c r="L108" s="30">
        <f>NOW()</f>
        <v/>
      </c>
    </row>
    <row r="109">
      <c r="A109" t="n">
        <v>108</v>
      </c>
      <c r="B109" s="28" t="n">
        <v>46037</v>
      </c>
      <c r="C109" t="inlineStr">
        <is>
          <t>Customer 006</t>
        </is>
      </c>
      <c r="D109" t="inlineStr">
        <is>
          <t>South</t>
        </is>
      </c>
      <c r="E109" t="inlineStr">
        <is>
          <t>Monitor</t>
        </is>
      </c>
      <c r="F109" t="n">
        <v>6</v>
      </c>
      <c r="G109" s="29" t="n">
        <v>14151.7</v>
      </c>
      <c r="H109" s="11" t="n">
        <v>0.05</v>
      </c>
      <c r="I109" s="29">
        <f>F109*G109</f>
        <v/>
      </c>
      <c r="J109" s="29" t="n">
        <v>67027.31</v>
      </c>
      <c r="K109" s="29">
        <f>I109*(1-H109)-J109</f>
        <v/>
      </c>
      <c r="L109" s="30">
        <f>NOW()</f>
        <v/>
      </c>
    </row>
    <row r="110">
      <c r="A110" t="n">
        <v>109</v>
      </c>
      <c r="B110" s="28" t="n">
        <v>46109</v>
      </c>
      <c r="C110" t="inlineStr">
        <is>
          <t>Customer 020</t>
        </is>
      </c>
      <c r="D110" t="inlineStr">
        <is>
          <t>North</t>
        </is>
      </c>
      <c r="E110" t="inlineStr">
        <is>
          <t>Laptop</t>
        </is>
      </c>
      <c r="F110" t="n">
        <v>2</v>
      </c>
      <c r="G110" s="29" t="n">
        <v>65142.87</v>
      </c>
      <c r="H110" s="11" t="n">
        <v>0.08</v>
      </c>
      <c r="I110" s="29">
        <f>F110*G110</f>
        <v/>
      </c>
      <c r="J110" s="29" t="n">
        <v>91521.27</v>
      </c>
      <c r="K110" s="29">
        <f>I110*(1-H110)-J110</f>
        <v/>
      </c>
      <c r="L110" s="30">
        <f>NOW()</f>
        <v/>
      </c>
    </row>
    <row r="111">
      <c r="A111" t="n">
        <v>110</v>
      </c>
      <c r="B111" s="28" t="n">
        <v>46190</v>
      </c>
      <c r="C111" t="inlineStr">
        <is>
          <t>Customer 007</t>
        </is>
      </c>
      <c r="D111" t="inlineStr">
        <is>
          <t>East</t>
        </is>
      </c>
      <c r="E111" t="inlineStr">
        <is>
          <t>Headphones</t>
        </is>
      </c>
      <c r="F111" t="n">
        <v>7</v>
      </c>
      <c r="G111" s="29" t="n">
        <v>3706.4</v>
      </c>
      <c r="H111" s="11" t="n">
        <v>0.08</v>
      </c>
      <c r="I111" s="29">
        <f>F111*G111</f>
        <v/>
      </c>
      <c r="J111" s="29" t="n">
        <v>19957.06</v>
      </c>
      <c r="K111" s="29">
        <f>I111*(1-H111)-J111</f>
        <v/>
      </c>
      <c r="L111" s="30">
        <f>NOW()</f>
        <v/>
      </c>
    </row>
    <row r="112">
      <c r="A112" t="n">
        <v>111</v>
      </c>
      <c r="B112" s="28" t="n">
        <v>46044</v>
      </c>
      <c r="C112" t="inlineStr">
        <is>
          <t>Customer 008</t>
        </is>
      </c>
      <c r="D112" t="inlineStr">
        <is>
          <t>South</t>
        </is>
      </c>
      <c r="E112" t="inlineStr">
        <is>
          <t>Tablet</t>
        </is>
      </c>
      <c r="F112" t="n">
        <v>2</v>
      </c>
      <c r="G112" s="29" t="n">
        <v>21138.58</v>
      </c>
      <c r="H112" s="11" t="n">
        <v>0.1</v>
      </c>
      <c r="I112" s="29">
        <f>F112*G112</f>
        <v/>
      </c>
      <c r="J112" s="29" t="n">
        <v>32720.73</v>
      </c>
      <c r="K112" s="29">
        <f>I112*(1-H112)-J112</f>
        <v/>
      </c>
      <c r="L112" s="30">
        <f>NOW()</f>
        <v/>
      </c>
    </row>
    <row r="113">
      <c r="A113" t="n">
        <v>112</v>
      </c>
      <c r="B113" s="28" t="n">
        <v>46119</v>
      </c>
      <c r="C113" t="inlineStr">
        <is>
          <t>Customer 003</t>
        </is>
      </c>
      <c r="D113" t="inlineStr">
        <is>
          <t>East</t>
        </is>
      </c>
      <c r="E113" t="inlineStr">
        <is>
          <t>Headphones</t>
        </is>
      </c>
      <c r="F113" t="n">
        <v>6</v>
      </c>
      <c r="G113" s="29" t="n">
        <v>3634.96</v>
      </c>
      <c r="H113" s="11" t="n">
        <v>0.05</v>
      </c>
      <c r="I113" s="29">
        <f>F113*G113</f>
        <v/>
      </c>
      <c r="J113" s="29" t="n">
        <v>14337.14</v>
      </c>
      <c r="K113" s="29">
        <f>I113*(1-H113)-J113</f>
        <v/>
      </c>
      <c r="L113" s="30">
        <f>NOW()</f>
        <v/>
      </c>
    </row>
    <row r="114">
      <c r="A114" t="n">
        <v>113</v>
      </c>
      <c r="B114" s="28" t="n">
        <v>46247</v>
      </c>
      <c r="C114" t="inlineStr">
        <is>
          <t>Customer 002</t>
        </is>
      </c>
      <c r="D114" t="inlineStr">
        <is>
          <t>East</t>
        </is>
      </c>
      <c r="E114" t="inlineStr">
        <is>
          <t>Headphones</t>
        </is>
      </c>
      <c r="F114" t="n">
        <v>1</v>
      </c>
      <c r="G114" s="29" t="n">
        <v>3781.05</v>
      </c>
      <c r="H114" s="11" t="n">
        <v>0.12</v>
      </c>
      <c r="I114" s="29">
        <f>F114*G114</f>
        <v/>
      </c>
      <c r="J114" s="29" t="n">
        <v>2712.16</v>
      </c>
      <c r="K114" s="29">
        <f>I114*(1-H114)-J114</f>
        <v/>
      </c>
      <c r="L114" s="30">
        <f>NOW()</f>
        <v/>
      </c>
    </row>
    <row r="115">
      <c r="A115" t="n">
        <v>114</v>
      </c>
      <c r="B115" s="28" t="n">
        <v>46108</v>
      </c>
      <c r="C115" t="inlineStr">
        <is>
          <t>Customer 027</t>
        </is>
      </c>
      <c r="D115" t="inlineStr">
        <is>
          <t>West</t>
        </is>
      </c>
      <c r="E115" t="inlineStr">
        <is>
          <t>Monitor</t>
        </is>
      </c>
      <c r="F115" t="n">
        <v>7</v>
      </c>
      <c r="G115" s="29" t="n">
        <v>12624.9</v>
      </c>
      <c r="H115" s="11" t="n">
        <v>0.02</v>
      </c>
      <c r="I115" s="29">
        <f>F115*G115</f>
        <v/>
      </c>
      <c r="J115" s="29" t="n">
        <v>72252.50999999999</v>
      </c>
      <c r="K115" s="29">
        <f>I115*(1-H115)-J115</f>
        <v/>
      </c>
      <c r="L115" s="30">
        <f>NOW()</f>
        <v/>
      </c>
    </row>
    <row r="116">
      <c r="A116" t="n">
        <v>115</v>
      </c>
      <c r="B116" s="28" t="n">
        <v>46289</v>
      </c>
      <c r="C116" t="inlineStr">
        <is>
          <t>Customer 005</t>
        </is>
      </c>
      <c r="D116" t="inlineStr">
        <is>
          <t>West</t>
        </is>
      </c>
      <c r="E116" t="inlineStr">
        <is>
          <t>Laptop</t>
        </is>
      </c>
      <c r="F116" t="n">
        <v>7</v>
      </c>
      <c r="G116" s="29" t="n">
        <v>65410.65</v>
      </c>
      <c r="H116" s="11" t="n">
        <v>0.1</v>
      </c>
      <c r="I116" s="29">
        <f>F116*G116</f>
        <v/>
      </c>
      <c r="J116" s="29" t="n">
        <v>292125.07</v>
      </c>
      <c r="K116" s="29">
        <f>I116*(1-H116)-J116</f>
        <v/>
      </c>
      <c r="L116" s="30">
        <f>NOW()</f>
        <v/>
      </c>
    </row>
    <row r="117">
      <c r="A117" t="n">
        <v>116</v>
      </c>
      <c r="B117" s="28" t="n">
        <v>46231</v>
      </c>
      <c r="C117" t="inlineStr">
        <is>
          <t>Customer 012</t>
        </is>
      </c>
      <c r="D117" t="inlineStr">
        <is>
          <t>East</t>
        </is>
      </c>
      <c r="E117" t="inlineStr">
        <is>
          <t>Headphones</t>
        </is>
      </c>
      <c r="F117" t="n">
        <v>4</v>
      </c>
      <c r="G117" s="29" t="n">
        <v>3674.83</v>
      </c>
      <c r="H117" s="11" t="n">
        <v>0.05</v>
      </c>
      <c r="I117" s="29">
        <f>F117*G117</f>
        <v/>
      </c>
      <c r="J117" s="29" t="n">
        <v>10776.7</v>
      </c>
      <c r="K117" s="29">
        <f>I117*(1-H117)-J117</f>
        <v/>
      </c>
      <c r="L117" s="30">
        <f>NOW()</f>
        <v/>
      </c>
    </row>
    <row r="118">
      <c r="A118" t="n">
        <v>117</v>
      </c>
      <c r="B118" s="28" t="n">
        <v>46138</v>
      </c>
      <c r="C118" t="inlineStr">
        <is>
          <t>Customer 010</t>
        </is>
      </c>
      <c r="D118" t="inlineStr">
        <is>
          <t>West</t>
        </is>
      </c>
      <c r="E118" t="inlineStr">
        <is>
          <t>Phone</t>
        </is>
      </c>
      <c r="F118" t="n">
        <v>2</v>
      </c>
      <c r="G118" s="29" t="n">
        <v>30343.09</v>
      </c>
      <c r="H118" s="11" t="n">
        <v>0.15</v>
      </c>
      <c r="I118" s="29">
        <f>F118*G118</f>
        <v/>
      </c>
      <c r="J118" s="29" t="n">
        <v>41430.28</v>
      </c>
      <c r="K118" s="29">
        <f>I118*(1-H118)-J118</f>
        <v/>
      </c>
      <c r="L118" s="30">
        <f>NOW()</f>
        <v/>
      </c>
    </row>
    <row r="119">
      <c r="A119" t="n">
        <v>118</v>
      </c>
      <c r="B119" s="28" t="n">
        <v>46156</v>
      </c>
      <c r="C119" t="inlineStr">
        <is>
          <t>Customer 025</t>
        </is>
      </c>
      <c r="D119" t="inlineStr">
        <is>
          <t>South</t>
        </is>
      </c>
      <c r="E119" t="inlineStr">
        <is>
          <t>Headphones</t>
        </is>
      </c>
      <c r="F119" t="n">
        <v>5</v>
      </c>
      <c r="G119" s="29" t="n">
        <v>3671.29</v>
      </c>
      <c r="H119" s="11" t="n">
        <v>0.08</v>
      </c>
      <c r="I119" s="29">
        <f>F119*G119</f>
        <v/>
      </c>
      <c r="J119" s="29" t="n">
        <v>13338.69</v>
      </c>
      <c r="K119" s="29">
        <f>I119*(1-H119)-J119</f>
        <v/>
      </c>
      <c r="L119" s="30">
        <f>NOW()</f>
        <v/>
      </c>
    </row>
    <row r="120">
      <c r="A120" t="n">
        <v>119</v>
      </c>
      <c r="B120" s="28" t="n">
        <v>46049</v>
      </c>
      <c r="C120" t="inlineStr">
        <is>
          <t>Customer 030</t>
        </is>
      </c>
      <c r="D120" t="inlineStr">
        <is>
          <t>West</t>
        </is>
      </c>
      <c r="E120" t="inlineStr">
        <is>
          <t>Phone</t>
        </is>
      </c>
      <c r="F120" t="n">
        <v>2</v>
      </c>
      <c r="G120" s="29" t="n">
        <v>27776.52</v>
      </c>
      <c r="H120" s="11" t="n">
        <v>0.1</v>
      </c>
      <c r="I120" s="29">
        <f>F120*G120</f>
        <v/>
      </c>
      <c r="J120" s="29" t="n">
        <v>37678.95</v>
      </c>
      <c r="K120" s="29">
        <f>I120*(1-H120)-J120</f>
        <v/>
      </c>
      <c r="L120" s="30">
        <f>NOW()</f>
        <v/>
      </c>
    </row>
    <row r="121">
      <c r="A121" t="n">
        <v>120</v>
      </c>
      <c r="B121" s="28" t="n">
        <v>46146</v>
      </c>
      <c r="C121" t="inlineStr">
        <is>
          <t>Customer 022</t>
        </is>
      </c>
      <c r="D121" t="inlineStr">
        <is>
          <t>East</t>
        </is>
      </c>
      <c r="E121" t="inlineStr">
        <is>
          <t>Tablet</t>
        </is>
      </c>
      <c r="F121" t="n">
        <v>7</v>
      </c>
      <c r="G121" s="29" t="n">
        <v>20657.43</v>
      </c>
      <c r="H121" s="11" t="n">
        <v>0.12</v>
      </c>
      <c r="I121" s="29">
        <f>F121*G121</f>
        <v/>
      </c>
      <c r="J121" s="29" t="n">
        <v>98774.14999999999</v>
      </c>
      <c r="K121" s="29">
        <f>I121*(1-H121)-J121</f>
        <v/>
      </c>
      <c r="L121" s="30">
        <f>NOW()</f>
        <v/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48" customWidth="1" min="3" max="3"/>
    <col width="25" customWidth="1" min="4" max="4"/>
    <col width="3" customWidth="1" min="5" max="5"/>
    <col width="20" customWidth="1" min="6" max="6"/>
    <col width="22" customWidth="1" min="7" max="7"/>
  </cols>
  <sheetData>
    <row r="1">
      <c r="A1" s="13" t="inlineStr">
        <is>
          <t>MAIN TASKS — SALES ANALYSIS</t>
        </is>
      </c>
      <c r="F1" s="2" t="inlineStr">
        <is>
          <t>Customer List</t>
        </is>
      </c>
      <c r="G1" s="2" t="inlineStr">
        <is>
          <t>Total Purchase</t>
        </is>
      </c>
    </row>
    <row r="2">
      <c r="A2" s="2" t="inlineStr">
        <is>
          <t>Task / Metric</t>
        </is>
      </c>
      <c r="B2" s="2" t="inlineStr">
        <is>
          <t>Result / Formula</t>
        </is>
      </c>
      <c r="C2" s="2" t="inlineStr">
        <is>
          <t>Formula or Method</t>
        </is>
      </c>
      <c r="D2" s="2" t="inlineStr">
        <is>
          <t>Notes</t>
        </is>
      </c>
      <c r="F2" t="inlineStr">
        <is>
          <t>Customer 001</t>
        </is>
      </c>
      <c r="G2" s="29">
        <f>SUMIF(Dataset!$C$2:$C$121,F2,Dataset!$I$2:$I$121)</f>
        <v/>
      </c>
    </row>
    <row r="3">
      <c r="A3" t="inlineStr">
        <is>
          <t>Total Sales</t>
        </is>
      </c>
      <c r="B3" s="29">
        <f>SUM(Dataset!I2:I121)</f>
        <v/>
      </c>
      <c r="C3" t="inlineStr">
        <is>
          <t>SUM of Total Sales</t>
        </is>
      </c>
      <c r="D3" t="inlineStr">
        <is>
          <t>Sales before discount</t>
        </is>
      </c>
      <c r="F3" t="inlineStr">
        <is>
          <t>Customer 002</t>
        </is>
      </c>
      <c r="G3" s="29">
        <f>SUMIF(Dataset!$C$2:$C$121,F3,Dataset!$I$2:$I$121)</f>
        <v/>
      </c>
    </row>
    <row r="4">
      <c r="A4" t="inlineStr">
        <is>
          <t>Total Profit</t>
        </is>
      </c>
      <c r="B4" s="29">
        <f>SUM(Dataset!K2:K121)</f>
        <v/>
      </c>
      <c r="C4" t="inlineStr">
        <is>
          <t>SUM of Profit</t>
        </is>
      </c>
      <c r="D4" t="inlineStr">
        <is>
          <t>After discount and cost</t>
        </is>
      </c>
      <c r="F4" t="inlineStr">
        <is>
          <t>Customer 003</t>
        </is>
      </c>
      <c r="G4" s="29">
        <f>SUMIF(Dataset!$C$2:$C$121,F4,Dataset!$I$2:$I$121)</f>
        <v/>
      </c>
    </row>
    <row r="5">
      <c r="A5" t="inlineStr">
        <is>
          <t>Total Orders</t>
        </is>
      </c>
      <c r="B5" s="14">
        <f>COUNTA(Dataset!A2:A121)</f>
        <v/>
      </c>
      <c r="C5" t="inlineStr">
        <is>
          <t>COUNTA</t>
        </is>
      </c>
      <c r="D5" t="inlineStr">
        <is>
          <t>Number of orders</t>
        </is>
      </c>
      <c r="F5" t="inlineStr">
        <is>
          <t>Customer 004</t>
        </is>
      </c>
      <c r="G5" s="29">
        <f>SUMIF(Dataset!$C$2:$C$121,F5,Dataset!$I$2:$I$121)</f>
        <v/>
      </c>
    </row>
    <row r="6">
      <c r="A6" t="inlineStr">
        <is>
          <t>Average Discount</t>
        </is>
      </c>
      <c r="B6" s="31">
        <f>AVERAGE(Dataset!H2:H121)</f>
        <v/>
      </c>
      <c r="C6" t="inlineStr">
        <is>
          <t>AVERAGE</t>
        </is>
      </c>
      <c r="D6" t="inlineStr">
        <is>
          <t>Average discount rate</t>
        </is>
      </c>
      <c r="F6" t="inlineStr">
        <is>
          <t>Customer 005</t>
        </is>
      </c>
      <c r="G6" s="29">
        <f>SUMIF(Dataset!$C$2:$C$121,F6,Dataset!$I$2:$I$121)</f>
        <v/>
      </c>
    </row>
    <row r="7">
      <c r="F7" t="inlineStr">
        <is>
          <t>Customer 006</t>
        </is>
      </c>
      <c r="G7" s="29">
        <f>SUMIF(Dataset!$C$2:$C$121,F7,Dataset!$I$2:$I$121)</f>
        <v/>
      </c>
    </row>
    <row r="8">
      <c r="F8" t="inlineStr">
        <is>
          <t>Customer 007</t>
        </is>
      </c>
      <c r="G8" s="29">
        <f>SUMIF(Dataset!$C$2:$C$121,F8,Dataset!$I$2:$I$121)</f>
        <v/>
      </c>
    </row>
    <row r="9">
      <c r="A9" s="6" t="inlineStr">
        <is>
          <t>TOP 10 CUSTOMERS — TOTAL PURCHASE</t>
        </is>
      </c>
      <c r="F9" t="inlineStr">
        <is>
          <t>Customer 008</t>
        </is>
      </c>
      <c r="G9" s="29">
        <f>SUMIF(Dataset!$C$2:$C$121,F9,Dataset!$I$2:$I$121)</f>
        <v/>
      </c>
    </row>
    <row r="10">
      <c r="A10" s="2" t="inlineStr">
        <is>
          <t>Rank</t>
        </is>
      </c>
      <c r="B10" s="2" t="inlineStr">
        <is>
          <t>Customer</t>
        </is>
      </c>
      <c r="C10" s="2" t="inlineStr">
        <is>
          <t>Total Purchase</t>
        </is>
      </c>
      <c r="F10" t="inlineStr">
        <is>
          <t>Customer 009</t>
        </is>
      </c>
      <c r="G10" s="29">
        <f>SUMIF(Dataset!$C$2:$C$121,F10,Dataset!$I$2:$I$121)</f>
        <v/>
      </c>
    </row>
    <row r="11">
      <c r="A11" t="n">
        <v>1</v>
      </c>
      <c r="B11">
        <f>INDEX($F$2:$F$31,MATCH(LARGE($G$2:$G$31,A11),$G$2:$G$31,0))</f>
        <v/>
      </c>
      <c r="C11" s="29">
        <f>LARGE($G$2:$G$31,A11)</f>
        <v/>
      </c>
      <c r="F11" t="inlineStr">
        <is>
          <t>Customer 010</t>
        </is>
      </c>
      <c r="G11" s="29">
        <f>SUMIF(Dataset!$C$2:$C$121,F11,Dataset!$I$2:$I$121)</f>
        <v/>
      </c>
    </row>
    <row r="12">
      <c r="A12" t="n">
        <v>2</v>
      </c>
      <c r="B12">
        <f>INDEX($F$2:$F$31,MATCH(LARGE($G$2:$G$31,A12),$G$2:$G$31,0))</f>
        <v/>
      </c>
      <c r="C12" s="29">
        <f>LARGE($G$2:$G$31,A12)</f>
        <v/>
      </c>
      <c r="F12" t="inlineStr">
        <is>
          <t>Customer 011</t>
        </is>
      </c>
      <c r="G12" s="29">
        <f>SUMIF(Dataset!$C$2:$C$121,F12,Dataset!$I$2:$I$121)</f>
        <v/>
      </c>
    </row>
    <row r="13">
      <c r="A13" t="n">
        <v>3</v>
      </c>
      <c r="B13">
        <f>INDEX($F$2:$F$31,MATCH(LARGE($G$2:$G$31,A13),$G$2:$G$31,0))</f>
        <v/>
      </c>
      <c r="C13" s="29">
        <f>LARGE($G$2:$G$31,A13)</f>
        <v/>
      </c>
      <c r="F13" t="inlineStr">
        <is>
          <t>Customer 012</t>
        </is>
      </c>
      <c r="G13" s="29">
        <f>SUMIF(Dataset!$C$2:$C$121,F13,Dataset!$I$2:$I$121)</f>
        <v/>
      </c>
    </row>
    <row r="14">
      <c r="A14" t="n">
        <v>4</v>
      </c>
      <c r="B14">
        <f>INDEX($F$2:$F$31,MATCH(LARGE($G$2:$G$31,A14),$G$2:$G$31,0))</f>
        <v/>
      </c>
      <c r="C14" s="29">
        <f>LARGE($G$2:$G$31,A14)</f>
        <v/>
      </c>
      <c r="F14" t="inlineStr">
        <is>
          <t>Customer 013</t>
        </is>
      </c>
      <c r="G14" s="29">
        <f>SUMIF(Dataset!$C$2:$C$121,F14,Dataset!$I$2:$I$121)</f>
        <v/>
      </c>
    </row>
    <row r="15">
      <c r="A15" t="n">
        <v>5</v>
      </c>
      <c r="B15">
        <f>INDEX($F$2:$F$31,MATCH(LARGE($G$2:$G$31,A15),$G$2:$G$31,0))</f>
        <v/>
      </c>
      <c r="C15" s="29">
        <f>LARGE($G$2:$G$31,A15)</f>
        <v/>
      </c>
      <c r="F15" t="inlineStr">
        <is>
          <t>Customer 014</t>
        </is>
      </c>
      <c r="G15" s="29">
        <f>SUMIF(Dataset!$C$2:$C$121,F15,Dataset!$I$2:$I$121)</f>
        <v/>
      </c>
    </row>
    <row r="16">
      <c r="A16" t="n">
        <v>6</v>
      </c>
      <c r="B16">
        <f>INDEX($F$2:$F$31,MATCH(LARGE($G$2:$G$31,A16),$G$2:$G$31,0))</f>
        <v/>
      </c>
      <c r="C16" s="29">
        <f>LARGE($G$2:$G$31,A16)</f>
        <v/>
      </c>
      <c r="F16" t="inlineStr">
        <is>
          <t>Customer 015</t>
        </is>
      </c>
      <c r="G16" s="29">
        <f>SUMIF(Dataset!$C$2:$C$121,F16,Dataset!$I$2:$I$121)</f>
        <v/>
      </c>
    </row>
    <row r="17">
      <c r="A17" t="n">
        <v>7</v>
      </c>
      <c r="B17">
        <f>INDEX($F$2:$F$31,MATCH(LARGE($G$2:$G$31,A17),$G$2:$G$31,0))</f>
        <v/>
      </c>
      <c r="C17" s="29">
        <f>LARGE($G$2:$G$31,A17)</f>
        <v/>
      </c>
      <c r="F17" t="inlineStr">
        <is>
          <t>Customer 016</t>
        </is>
      </c>
      <c r="G17" s="29">
        <f>SUMIF(Dataset!$C$2:$C$121,F17,Dataset!$I$2:$I$121)</f>
        <v/>
      </c>
    </row>
    <row r="18">
      <c r="A18" t="n">
        <v>8</v>
      </c>
      <c r="B18">
        <f>INDEX($F$2:$F$31,MATCH(LARGE($G$2:$G$31,A18),$G$2:$G$31,0))</f>
        <v/>
      </c>
      <c r="C18" s="29">
        <f>LARGE($G$2:$G$31,A18)</f>
        <v/>
      </c>
      <c r="F18" t="inlineStr">
        <is>
          <t>Customer 017</t>
        </is>
      </c>
      <c r="G18" s="29">
        <f>SUMIF(Dataset!$C$2:$C$121,F18,Dataset!$I$2:$I$121)</f>
        <v/>
      </c>
    </row>
    <row r="19">
      <c r="A19" t="n">
        <v>9</v>
      </c>
      <c r="B19">
        <f>INDEX($F$2:$F$31,MATCH(LARGE($G$2:$G$31,A19),$G$2:$G$31,0))</f>
        <v/>
      </c>
      <c r="C19" s="29">
        <f>LARGE($G$2:$G$31,A19)</f>
        <v/>
      </c>
      <c r="F19" t="inlineStr">
        <is>
          <t>Customer 018</t>
        </is>
      </c>
      <c r="G19" s="29">
        <f>SUMIF(Dataset!$C$2:$C$121,F19,Dataset!$I$2:$I$121)</f>
        <v/>
      </c>
    </row>
    <row r="20">
      <c r="A20" t="n">
        <v>10</v>
      </c>
      <c r="B20">
        <f>INDEX($F$2:$F$31,MATCH(LARGE($G$2:$G$31,A20),$G$2:$G$31,0))</f>
        <v/>
      </c>
      <c r="C20" s="29">
        <f>LARGE($G$2:$G$31,A20)</f>
        <v/>
      </c>
      <c r="F20" t="inlineStr">
        <is>
          <t>Customer 019</t>
        </is>
      </c>
      <c r="G20" s="29">
        <f>SUMIF(Dataset!$C$2:$C$121,F20,Dataset!$I$2:$I$121)</f>
        <v/>
      </c>
    </row>
    <row r="21">
      <c r="F21" t="inlineStr">
        <is>
          <t>Customer 020</t>
        </is>
      </c>
      <c r="G21" s="29">
        <f>SUMIF(Dataset!$C$2:$C$121,F21,Dataset!$I$2:$I$121)</f>
        <v/>
      </c>
    </row>
    <row r="22">
      <c r="F22" t="inlineStr">
        <is>
          <t>Customer 021</t>
        </is>
      </c>
      <c r="G22" s="29">
        <f>SUMIF(Dataset!$C$2:$C$121,F22,Dataset!$I$2:$I$121)</f>
        <v/>
      </c>
    </row>
    <row r="23">
      <c r="A23" s="6" t="inlineStr">
        <is>
          <t>WHAT-IF ANALYSIS — DISCOUNT VS TOTAL PROFIT</t>
        </is>
      </c>
      <c r="F23" t="inlineStr">
        <is>
          <t>Customer 022</t>
        </is>
      </c>
      <c r="G23" s="29">
        <f>SUMIF(Dataset!$C$2:$C$121,F23,Dataset!$I$2:$I$121)</f>
        <v/>
      </c>
    </row>
    <row r="24">
      <c r="A24" s="2" t="inlineStr">
        <is>
          <t>Discount Rate</t>
        </is>
      </c>
      <c r="B24" s="2" t="inlineStr">
        <is>
          <t>Estimated Total Profit</t>
        </is>
      </c>
      <c r="C24" s="2" t="inlineStr">
        <is>
          <t>Formula</t>
        </is>
      </c>
      <c r="F24" t="inlineStr">
        <is>
          <t>Customer 023</t>
        </is>
      </c>
      <c r="G24" s="29">
        <f>SUMIF(Dataset!$C$2:$C$121,F24,Dataset!$I$2:$I$121)</f>
        <v/>
      </c>
    </row>
    <row r="25">
      <c r="A25" s="11" t="n">
        <v>0</v>
      </c>
      <c r="B25" s="29">
        <f>SUMPRODUCT(Dataset!$I$2:$I$121,1-A25)-SUM(Dataset!$J$2:$J$121)</f>
        <v/>
      </c>
      <c r="C25">
        <f>SUMPRODUCT(Dataset!$I$2:$I$121,1-A25)-SUM(Dataset!$J$2:$J$121)</f>
        <v/>
      </c>
      <c r="F25" t="inlineStr">
        <is>
          <t>Customer 024</t>
        </is>
      </c>
      <c r="G25" s="29">
        <f>SUMIF(Dataset!$C$2:$C$121,F25,Dataset!$I$2:$I$121)</f>
        <v/>
      </c>
    </row>
    <row r="26">
      <c r="A26" s="11" t="n">
        <v>0.05</v>
      </c>
      <c r="B26" s="29">
        <f>SUMPRODUCT(Dataset!$I$2:$I$121,1-A26)-SUM(Dataset!$J$2:$J$121)</f>
        <v/>
      </c>
      <c r="C26">
        <f>SUMPRODUCT(Dataset!$I$2:$I$121,1-A26)-SUM(Dataset!$J$2:$J$121)</f>
        <v/>
      </c>
      <c r="F26" t="inlineStr">
        <is>
          <t>Customer 025</t>
        </is>
      </c>
      <c r="G26" s="29">
        <f>SUMIF(Dataset!$C$2:$C$121,F26,Dataset!$I$2:$I$121)</f>
        <v/>
      </c>
    </row>
    <row r="27">
      <c r="A27" s="11" t="n">
        <v>0.1</v>
      </c>
      <c r="B27" s="29">
        <f>SUMPRODUCT(Dataset!$I$2:$I$121,1-A27)-SUM(Dataset!$J$2:$J$121)</f>
        <v/>
      </c>
      <c r="C27">
        <f>SUMPRODUCT(Dataset!$I$2:$I$121,1-A27)-SUM(Dataset!$J$2:$J$121)</f>
        <v/>
      </c>
      <c r="F27" t="inlineStr">
        <is>
          <t>Customer 026</t>
        </is>
      </c>
      <c r="G27" s="29">
        <f>SUMIF(Dataset!$C$2:$C$121,F27,Dataset!$I$2:$I$121)</f>
        <v/>
      </c>
    </row>
    <row r="28">
      <c r="A28" s="11" t="n">
        <v>0.15</v>
      </c>
      <c r="B28" s="29">
        <f>SUMPRODUCT(Dataset!$I$2:$I$121,1-A28)-SUM(Dataset!$J$2:$J$121)</f>
        <v/>
      </c>
      <c r="C28">
        <f>SUMPRODUCT(Dataset!$I$2:$I$121,1-A28)-SUM(Dataset!$J$2:$J$121)</f>
        <v/>
      </c>
      <c r="F28" t="inlineStr">
        <is>
          <t>Customer 027</t>
        </is>
      </c>
      <c r="G28" s="29">
        <f>SUMIF(Dataset!$C$2:$C$121,F28,Dataset!$I$2:$I$121)</f>
        <v/>
      </c>
    </row>
    <row r="29">
      <c r="A29" s="11" t="n">
        <v>0.2</v>
      </c>
      <c r="B29" s="29">
        <f>SUMPRODUCT(Dataset!$I$2:$I$121,1-A29)-SUM(Dataset!$J$2:$J$121)</f>
        <v/>
      </c>
      <c r="C29">
        <f>SUMPRODUCT(Dataset!$I$2:$I$121,1-A29)-SUM(Dataset!$J$2:$J$121)</f>
        <v/>
      </c>
      <c r="F29" t="inlineStr">
        <is>
          <t>Customer 028</t>
        </is>
      </c>
      <c r="G29" s="29">
        <f>SUMIF(Dataset!$C$2:$C$121,F29,Dataset!$I$2:$I$121)</f>
        <v/>
      </c>
    </row>
    <row r="30">
      <c r="A30" s="11" t="n">
        <v>0.25</v>
      </c>
      <c r="B30" s="29">
        <f>SUMPRODUCT(Dataset!$I$2:$I$121,1-A30)-SUM(Dataset!$J$2:$J$121)</f>
        <v/>
      </c>
      <c r="C30">
        <f>SUMPRODUCT(Dataset!$I$2:$I$121,1-A30)-SUM(Dataset!$J$2:$J$121)</f>
        <v/>
      </c>
      <c r="F30" t="inlineStr">
        <is>
          <t>Customer 029</t>
        </is>
      </c>
      <c r="G30" s="29">
        <f>SUMIF(Dataset!$C$2:$C$121,F30,Dataset!$I$2:$I$121)</f>
        <v/>
      </c>
    </row>
    <row r="31">
      <c r="F31" t="inlineStr">
        <is>
          <t>Customer 030</t>
        </is>
      </c>
      <c r="G31" s="29">
        <f>SUMIF(Dataset!$C$2:$C$121,F31,Dataset!$I$2:$I$121)</f>
        <v/>
      </c>
    </row>
    <row r="33">
      <c r="A33" s="6" t="inlineStr">
        <is>
          <t>LINEAR REGRESSION — PROFIT VS SALES</t>
        </is>
      </c>
    </row>
    <row r="34">
      <c r="A34" s="2" t="inlineStr">
        <is>
          <t>Measure</t>
        </is>
      </c>
      <c r="B34" s="2" t="inlineStr">
        <is>
          <t>Value / Formula</t>
        </is>
      </c>
      <c r="C34" s="2" t="inlineStr">
        <is>
          <t>Meaning</t>
        </is>
      </c>
    </row>
    <row r="35">
      <c r="A35" t="inlineStr">
        <is>
          <t>Slope</t>
        </is>
      </c>
      <c r="B35" s="16">
        <f>SLOPE(Dataset!K2:K121,Dataset!I2:I121)</f>
        <v/>
      </c>
      <c r="C35" t="inlineStr">
        <is>
          <t>Profit change relative to sales</t>
        </is>
      </c>
    </row>
    <row r="36">
      <c r="A36" t="inlineStr">
        <is>
          <t>Intercept</t>
        </is>
      </c>
      <c r="B36" s="16">
        <f>INTERCEPT(Dataset!K2:K121,Dataset!I2:I121)</f>
        <v/>
      </c>
      <c r="C36" t="inlineStr">
        <is>
          <t>Estimated profit at zero sales</t>
        </is>
      </c>
    </row>
    <row r="37">
      <c r="A37" t="inlineStr">
        <is>
          <t>R-squared</t>
        </is>
      </c>
      <c r="B37" s="16">
        <f>RSQ(Dataset!K2:K121,Dataset!I2:I121)</f>
        <v/>
      </c>
      <c r="C37" t="inlineStr">
        <is>
          <t>How much variation is explained</t>
        </is>
      </c>
    </row>
    <row r="38">
      <c r="A38" t="inlineStr">
        <is>
          <t>Correlation</t>
        </is>
      </c>
      <c r="B38" s="16">
        <f>CORREL(Dataset!K2:K121,Dataset!I2:I121)</f>
        <v/>
      </c>
      <c r="C38" t="inlineStr">
        <is>
          <t>Direction and strength of relationship</t>
        </is>
      </c>
    </row>
    <row r="41">
      <c r="A41" s="6" t="inlineStr">
        <is>
          <t>DESCRIPTIVE STATISTICS</t>
        </is>
      </c>
    </row>
    <row r="42">
      <c r="A42" s="2" t="inlineStr">
        <is>
          <t>Variable</t>
        </is>
      </c>
      <c r="B42" s="2" t="inlineStr">
        <is>
          <t>Mean</t>
        </is>
      </c>
      <c r="C42" s="2" t="inlineStr">
        <is>
          <t>Median</t>
        </is>
      </c>
      <c r="D42" s="2" t="inlineStr">
        <is>
          <t>Standard Deviation</t>
        </is>
      </c>
    </row>
    <row r="43">
      <c r="A43" t="inlineStr">
        <is>
          <t>Total Sales</t>
        </is>
      </c>
      <c r="B43" s="29">
        <f>AVERAGE(Dataset!I2:I121)</f>
        <v/>
      </c>
      <c r="C43" s="29">
        <f>MEDIAN(Dataset!I2:I121)</f>
        <v/>
      </c>
      <c r="D43" s="29">
        <f>STDEV.S(Dataset!I2:I121)</f>
        <v/>
      </c>
    </row>
    <row r="44">
      <c r="A44" t="inlineStr">
        <is>
          <t>Profit</t>
        </is>
      </c>
      <c r="B44" s="29">
        <f>AVERAGE(Dataset!K2:K121)</f>
        <v/>
      </c>
      <c r="C44" s="29">
        <f>MEDIAN(Dataset!K2:K121)</f>
        <v/>
      </c>
      <c r="D44" s="29">
        <f>STDEV.S(Dataset!K2:K121)</f>
        <v/>
      </c>
    </row>
    <row r="45">
      <c r="A45" t="inlineStr">
        <is>
          <t>Quantity</t>
        </is>
      </c>
      <c r="B45" s="17">
        <f>AVERAGE(Dataset!F2:F121)</f>
        <v/>
      </c>
      <c r="C45" s="17">
        <f>MEDIAN(Dataset!F2:F121)</f>
        <v/>
      </c>
      <c r="D45" s="17">
        <f>STDEV.S(Dataset!F2:F121)</f>
        <v/>
      </c>
    </row>
    <row r="46">
      <c r="A46" t="inlineStr">
        <is>
          <t>Discount</t>
        </is>
      </c>
      <c r="B46" s="31">
        <f>AVERAGE(Dataset!H2:H121)</f>
        <v/>
      </c>
      <c r="C46" s="31">
        <f>MEDIAN(Dataset!H2:H121)</f>
        <v/>
      </c>
      <c r="D46" s="31">
        <f>STDEV.S(Dataset!H2:H121)</f>
        <v/>
      </c>
    </row>
    <row r="48">
      <c r="A48" s="7" t="inlineStr">
        <is>
          <t>Excel ToolPak: Data → Data Analysis → Regression (Y Range = Profit, X Range = Total Sales); Descriptive Statistics (select dataset numeric columns).</t>
        </is>
      </c>
    </row>
    <row r="49"/>
  </sheetData>
  <mergeCells count="6">
    <mergeCell ref="A1:D1"/>
    <mergeCell ref="A33:C33"/>
    <mergeCell ref="A48:G49"/>
    <mergeCell ref="A23:C23"/>
    <mergeCell ref="A9:C9"/>
    <mergeCell ref="A41:D41"/>
  </mergeCells>
  <conditionalFormatting sqref="G2:G31">
    <cfRule type="top10" rank="10" priority="1" dxfId="0" percent="0"/>
  </conditionalFormatting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4" customWidth="1" min="4" max="4"/>
  </cols>
  <sheetData>
    <row r="1">
      <c r="A1" s="18" t="inlineStr">
        <is>
          <t>Month</t>
        </is>
      </c>
      <c r="B1" s="18" t="inlineStr">
        <is>
          <t>Total Sales</t>
        </is>
      </c>
      <c r="C1" s="18" t="inlineStr">
        <is>
          <t>Growth %</t>
        </is>
      </c>
      <c r="D1" s="18" t="inlineStr">
        <is>
          <t>Arrow</t>
        </is>
      </c>
    </row>
    <row r="2">
      <c r="A2" s="19" t="n">
        <v>46023</v>
      </c>
      <c r="B2" s="29">
        <f>SUMIFS(Dataset!$I$2:$I$121,Dataset!$B$2:$B$121,"&gt;="&amp;A2,Dataset!$B$2:$B$121,"&lt;"&amp;EDATE(A2,1))</f>
        <v/>
      </c>
      <c r="C2" s="31" t="n">
        <v>0</v>
      </c>
      <c r="D2" t="inlineStr">
        <is>
          <t>—</t>
        </is>
      </c>
    </row>
    <row r="3">
      <c r="A3" s="19" t="n">
        <v>46054</v>
      </c>
      <c r="B3" s="29">
        <f>SUMIFS(Dataset!$I$2:$I$121,Dataset!$B$2:$B$121,"&gt;="&amp;A3,Dataset!$B$2:$B$121,"&lt;"&amp;EDATE(A3,1))</f>
        <v/>
      </c>
      <c r="C3" s="31">
        <f>IFERROR(B3/B2-1,0)</f>
        <v/>
      </c>
      <c r="D3">
        <f>IF(B3&gt;B2,"↑",IF(B3&lt;B2,"↓","→"))</f>
        <v/>
      </c>
    </row>
    <row r="4">
      <c r="A4" s="19" t="n">
        <v>46082</v>
      </c>
      <c r="B4" s="29">
        <f>SUMIFS(Dataset!$I$2:$I$121,Dataset!$B$2:$B$121,"&gt;="&amp;A4,Dataset!$B$2:$B$121,"&lt;"&amp;EDATE(A4,1))</f>
        <v/>
      </c>
      <c r="C4" s="31">
        <f>IFERROR(B4/B3-1,0)</f>
        <v/>
      </c>
      <c r="D4">
        <f>IF(B4&gt;B3,"↑",IF(B4&lt;B3,"↓","→"))</f>
        <v/>
      </c>
    </row>
    <row r="5">
      <c r="A5" s="19" t="n">
        <v>46113</v>
      </c>
      <c r="B5" s="29">
        <f>SUMIFS(Dataset!$I$2:$I$121,Dataset!$B$2:$B$121,"&gt;="&amp;A5,Dataset!$B$2:$B$121,"&lt;"&amp;EDATE(A5,1))</f>
        <v/>
      </c>
      <c r="C5" s="31">
        <f>IFERROR(B5/B4-1,0)</f>
        <v/>
      </c>
      <c r="D5">
        <f>IF(B5&gt;B4,"↑",IF(B5&lt;B4,"↓","→"))</f>
        <v/>
      </c>
    </row>
    <row r="6">
      <c r="A6" s="19" t="n">
        <v>46143</v>
      </c>
      <c r="B6" s="29">
        <f>SUMIFS(Dataset!$I$2:$I$121,Dataset!$B$2:$B$121,"&gt;="&amp;A6,Dataset!$B$2:$B$121,"&lt;"&amp;EDATE(A6,1))</f>
        <v/>
      </c>
      <c r="C6" s="31">
        <f>IFERROR(B6/B5-1,0)</f>
        <v/>
      </c>
      <c r="D6">
        <f>IF(B6&gt;B5,"↑",IF(B6&lt;B5,"↓","→"))</f>
        <v/>
      </c>
    </row>
    <row r="7">
      <c r="A7" s="19" t="n">
        <v>46174</v>
      </c>
      <c r="B7" s="29">
        <f>SUMIFS(Dataset!$I$2:$I$121,Dataset!$B$2:$B$121,"&gt;="&amp;A7,Dataset!$B$2:$B$121,"&lt;"&amp;EDATE(A7,1))</f>
        <v/>
      </c>
      <c r="C7" s="31">
        <f>IFERROR(B7/B6-1,0)</f>
        <v/>
      </c>
      <c r="D7">
        <f>IF(B7&gt;B6,"↑",IF(B7&lt;B6,"↓","→"))</f>
        <v/>
      </c>
    </row>
    <row r="8">
      <c r="A8" s="19" t="n">
        <v>46204</v>
      </c>
      <c r="B8" s="29">
        <f>SUMIFS(Dataset!$I$2:$I$121,Dataset!$B$2:$B$121,"&gt;="&amp;A8,Dataset!$B$2:$B$121,"&lt;"&amp;EDATE(A8,1))</f>
        <v/>
      </c>
      <c r="C8" s="31">
        <f>IFERROR(B8/B7-1,0)</f>
        <v/>
      </c>
      <c r="D8">
        <f>IF(B8&gt;B7,"↑",IF(B8&lt;B7,"↓","→"))</f>
        <v/>
      </c>
    </row>
    <row r="9">
      <c r="A9" s="19" t="n">
        <v>46235</v>
      </c>
      <c r="B9" s="29">
        <f>SUMIFS(Dataset!$I$2:$I$121,Dataset!$B$2:$B$121,"&gt;="&amp;A9,Dataset!$B$2:$B$121,"&lt;"&amp;EDATE(A9,1))</f>
        <v/>
      </c>
      <c r="C9" s="31">
        <f>IFERROR(B9/B8-1,0)</f>
        <v/>
      </c>
      <c r="D9">
        <f>IF(B9&gt;B8,"↑",IF(B9&lt;B8,"↓","→"))</f>
        <v/>
      </c>
    </row>
    <row r="10">
      <c r="A10" s="19" t="n">
        <v>46266</v>
      </c>
      <c r="B10" s="29">
        <f>SUMIFS(Dataset!$I$2:$I$121,Dataset!$B$2:$B$121,"&gt;="&amp;A10,Dataset!$B$2:$B$121,"&lt;"&amp;EDATE(A10,1))</f>
        <v/>
      </c>
      <c r="C10" s="31">
        <f>IFERROR(B10/B9-1,0)</f>
        <v/>
      </c>
      <c r="D10">
        <f>IF(B10&gt;B9,"↑",IF(B10&lt;B9,"↓","→"))</f>
        <v/>
      </c>
    </row>
    <row r="11">
      <c r="A11" s="19" t="n">
        <v>46296</v>
      </c>
      <c r="B11" s="29">
        <f>SUMIFS(Dataset!$I$2:$I$121,Dataset!$B$2:$B$121,"&gt;="&amp;A11,Dataset!$B$2:$B$121,"&lt;"&amp;EDATE(A11,1))</f>
        <v/>
      </c>
      <c r="C11" s="31">
        <f>IFERROR(B11/B10-1,0)</f>
        <v/>
      </c>
      <c r="D11">
        <f>IF(B11&gt;B10,"↑",IF(B11&lt;B10,"↓","→"))</f>
        <v/>
      </c>
    </row>
    <row r="12">
      <c r="A12" s="19" t="n">
        <v>46327</v>
      </c>
      <c r="B12" s="29">
        <f>SUMIFS(Dataset!$I$2:$I$121,Dataset!$B$2:$B$121,"&gt;="&amp;A12,Dataset!$B$2:$B$121,"&lt;"&amp;EDATE(A12,1))</f>
        <v/>
      </c>
      <c r="C12" s="31">
        <f>IFERROR(B12/B11-1,0)</f>
        <v/>
      </c>
      <c r="D12">
        <f>IF(B12&gt;B11,"↑",IF(B12&lt;B11,"↓","→"))</f>
        <v/>
      </c>
    </row>
    <row r="13">
      <c r="A13" s="19" t="n">
        <v>46357</v>
      </c>
      <c r="B13" s="29">
        <f>SUMIFS(Dataset!$I$2:$I$121,Dataset!$B$2:$B$121,"&gt;="&amp;A13,Dataset!$B$2:$B$121,"&lt;"&amp;EDATE(A13,1))</f>
        <v/>
      </c>
      <c r="C13" s="31">
        <f>IFERROR(B13/B12-1,0)</f>
        <v/>
      </c>
      <c r="D13">
        <f>IF(B13&gt;B12,"↑",IF(B13&lt;B12,"↓","→"))</f>
        <v/>
      </c>
    </row>
  </sheetData>
  <conditionalFormatting sqref="D2:D13">
    <cfRule type="cellIs" priority="1" operator="equal" dxfId="0">
      <formula>"↑"</formula>
    </cfRule>
    <cfRule type="cellIs" priority="2" operator="equal" dxfId="1">
      <formula>"↓"</formula>
    </cfRule>
  </conditionalFormatting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0" t="inlineStr">
        <is>
          <t>TOTAL SALES BY REGION AND PRODUCT</t>
        </is>
      </c>
    </row>
    <row r="3">
      <c r="A3" s="2" t="inlineStr">
        <is>
          <t>Region / Product</t>
        </is>
      </c>
      <c r="B3" s="2" t="inlineStr">
        <is>
          <t>Laptop</t>
        </is>
      </c>
      <c r="C3" s="2" t="inlineStr">
        <is>
          <t>Phone</t>
        </is>
      </c>
      <c r="D3" s="2" t="inlineStr">
        <is>
          <t>Tablet</t>
        </is>
      </c>
      <c r="E3" s="2" t="inlineStr">
        <is>
          <t>Headphones</t>
        </is>
      </c>
      <c r="F3" s="2" t="inlineStr">
        <is>
          <t>Monitor</t>
        </is>
      </c>
      <c r="G3" s="2" t="inlineStr">
        <is>
          <t>Total</t>
        </is>
      </c>
    </row>
    <row r="4">
      <c r="A4" t="inlineStr">
        <is>
          <t>West</t>
        </is>
      </c>
      <c r="B4" s="29">
        <f>SUMIFS(Dataset!$I$2:$I$121,Dataset!$D$2:$D$121,$A4,Dataset!$E$2:$E$121,B$3)</f>
        <v/>
      </c>
      <c r="C4" s="29">
        <f>SUMIFS(Dataset!$I$2:$I$121,Dataset!$D$2:$D$121,$A4,Dataset!$E$2:$E$121,C$3)</f>
        <v/>
      </c>
      <c r="D4" s="29">
        <f>SUMIFS(Dataset!$I$2:$I$121,Dataset!$D$2:$D$121,$A4,Dataset!$E$2:$E$121,D$3)</f>
        <v/>
      </c>
      <c r="E4" s="29">
        <f>SUMIFS(Dataset!$I$2:$I$121,Dataset!$D$2:$D$121,$A4,Dataset!$E$2:$E$121,E$3)</f>
        <v/>
      </c>
      <c r="F4" s="29">
        <f>SUMIFS(Dataset!$I$2:$I$121,Dataset!$D$2:$D$121,$A4,Dataset!$E$2:$E$121,F$3)</f>
        <v/>
      </c>
      <c r="G4" s="29">
        <f>SUM(B4:F4)</f>
        <v/>
      </c>
    </row>
    <row r="5">
      <c r="A5" t="inlineStr">
        <is>
          <t>North</t>
        </is>
      </c>
      <c r="B5" s="29">
        <f>SUMIFS(Dataset!$I$2:$I$121,Dataset!$D$2:$D$121,$A5,Dataset!$E$2:$E$121,B$3)</f>
        <v/>
      </c>
      <c r="C5" s="29">
        <f>SUMIFS(Dataset!$I$2:$I$121,Dataset!$D$2:$D$121,$A5,Dataset!$E$2:$E$121,C$3)</f>
        <v/>
      </c>
      <c r="D5" s="29">
        <f>SUMIFS(Dataset!$I$2:$I$121,Dataset!$D$2:$D$121,$A5,Dataset!$E$2:$E$121,D$3)</f>
        <v/>
      </c>
      <c r="E5" s="29">
        <f>SUMIFS(Dataset!$I$2:$I$121,Dataset!$D$2:$D$121,$A5,Dataset!$E$2:$E$121,E$3)</f>
        <v/>
      </c>
      <c r="F5" s="29">
        <f>SUMIFS(Dataset!$I$2:$I$121,Dataset!$D$2:$D$121,$A5,Dataset!$E$2:$E$121,F$3)</f>
        <v/>
      </c>
      <c r="G5" s="29">
        <f>SUM(B5:F5)</f>
        <v/>
      </c>
    </row>
    <row r="6">
      <c r="A6" t="inlineStr">
        <is>
          <t>South</t>
        </is>
      </c>
      <c r="B6" s="29">
        <f>SUMIFS(Dataset!$I$2:$I$121,Dataset!$D$2:$D$121,$A6,Dataset!$E$2:$E$121,B$3)</f>
        <v/>
      </c>
      <c r="C6" s="29">
        <f>SUMIFS(Dataset!$I$2:$I$121,Dataset!$D$2:$D$121,$A6,Dataset!$E$2:$E$121,C$3)</f>
        <v/>
      </c>
      <c r="D6" s="29">
        <f>SUMIFS(Dataset!$I$2:$I$121,Dataset!$D$2:$D$121,$A6,Dataset!$E$2:$E$121,D$3)</f>
        <v/>
      </c>
      <c r="E6" s="29">
        <f>SUMIFS(Dataset!$I$2:$I$121,Dataset!$D$2:$D$121,$A6,Dataset!$E$2:$E$121,E$3)</f>
        <v/>
      </c>
      <c r="F6" s="29">
        <f>SUMIFS(Dataset!$I$2:$I$121,Dataset!$D$2:$D$121,$A6,Dataset!$E$2:$E$121,F$3)</f>
        <v/>
      </c>
      <c r="G6" s="29">
        <f>SUM(B6:F6)</f>
        <v/>
      </c>
    </row>
    <row r="7">
      <c r="A7" t="inlineStr">
        <is>
          <t>East</t>
        </is>
      </c>
      <c r="B7" s="29">
        <f>SUMIFS(Dataset!$I$2:$I$121,Dataset!$D$2:$D$121,$A7,Dataset!$E$2:$E$121,B$3)</f>
        <v/>
      </c>
      <c r="C7" s="29">
        <f>SUMIFS(Dataset!$I$2:$I$121,Dataset!$D$2:$D$121,$A7,Dataset!$E$2:$E$121,C$3)</f>
        <v/>
      </c>
      <c r="D7" s="29">
        <f>SUMIFS(Dataset!$I$2:$I$121,Dataset!$D$2:$D$121,$A7,Dataset!$E$2:$E$121,D$3)</f>
        <v/>
      </c>
      <c r="E7" s="29">
        <f>SUMIFS(Dataset!$I$2:$I$121,Dataset!$D$2:$D$121,$A7,Dataset!$E$2:$E$121,E$3)</f>
        <v/>
      </c>
      <c r="F7" s="29">
        <f>SUMIFS(Dataset!$I$2:$I$121,Dataset!$D$2:$D$121,$A7,Dataset!$E$2:$E$121,F$3)</f>
        <v/>
      </c>
      <c r="G7" s="29">
        <f>SUM(B7:F7)</f>
        <v/>
      </c>
    </row>
    <row r="8">
      <c r="A8" s="21" t="inlineStr">
        <is>
          <t>Grand Total</t>
        </is>
      </c>
      <c r="B8" s="32">
        <f>SUM(B4:B7)</f>
        <v/>
      </c>
      <c r="C8" s="32">
        <f>SUM(C4:C7)</f>
        <v/>
      </c>
      <c r="D8" s="32">
        <f>SUM(D4:D7)</f>
        <v/>
      </c>
      <c r="E8" s="32">
        <f>SUM(E4:E7)</f>
        <v/>
      </c>
      <c r="F8" s="32">
        <f>SUM(F4:F7)</f>
        <v/>
      </c>
      <c r="G8" s="32">
        <f>SUM(G4:G7)</f>
        <v/>
      </c>
    </row>
  </sheetData>
  <mergeCells count="1">
    <mergeCell ref="A1:G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2026-10-21T16:04:49Z</dcterms:created>
  <dcterms:modified xmlns:dcterms="http://purl.org/dc/terms/" xmlns:xsi="http://www.w3.org/2001/XMLSchema-instance" xsi:type="dcterms:W3CDTF">2026-10-21T16:06:55Z</dcterms:modified>
</cp:coreProperties>
</file>